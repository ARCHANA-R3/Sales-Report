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3D728485-DCB3-4FA7-AC96-DD9E25F20D6F}" xr6:coauthVersionLast="47" xr6:coauthVersionMax="47" xr10:uidLastSave="{00000000-0000-0000-0000-000000000000}"/>
  <bookViews>
    <workbookView xWindow="-110" yWindow="-110" windowWidth="19420" windowHeight="10300" firstSheet="1" activeTab="6" xr2:uid="{B34D4225-CE08-47E6-BEDD-77964710133F}"/>
  </bookViews>
  <sheets>
    <sheet name="Sheet1" sheetId="2" r:id="rId1"/>
    <sheet name="Sheet2" sheetId="3" r:id="rId2"/>
    <sheet name="Sheet3" sheetId="4" r:id="rId3"/>
    <sheet name="Sheet4" sheetId="5" r:id="rId4"/>
    <sheet name="Sheet5" sheetId="6" r:id="rId5"/>
    <sheet name="Sheet6" sheetId="7" r:id="rId6"/>
    <sheet name="DASHBOARD" sheetId="9" r:id="rId7"/>
    <sheet name="Sheet10" sheetId="11" r:id="rId8"/>
    <sheet name="Sales Report" sheetId="1" r:id="rId9"/>
  </sheets>
  <definedNames>
    <definedName name="NativeTimeline_Order_Date">#N/A</definedName>
    <definedName name="Slicer_Region">#N/A</definedName>
    <definedName name="Slicer_Statu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a="1"/>
  <c r="N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s="1"/>
  <c r="N189" i="1" a="1"/>
  <c r="N189" i="1" s="1"/>
  <c r="N190" i="1" a="1"/>
  <c r="N190" i="1" s="1"/>
  <c r="N191" i="1" a="1"/>
  <c r="N191" i="1" s="1"/>
  <c r="N192" i="1" a="1"/>
  <c r="N192" i="1" s="1"/>
  <c r="N193" i="1" a="1"/>
  <c r="N193" i="1" s="1"/>
  <c r="N194" i="1" a="1"/>
  <c r="N194" i="1" s="1"/>
  <c r="N195" i="1" a="1"/>
  <c r="N195" i="1" s="1"/>
  <c r="N196" i="1" a="1"/>
  <c r="N196" i="1" s="1"/>
  <c r="N197" i="1" a="1"/>
  <c r="N197" i="1" s="1"/>
  <c r="N198" i="1" a="1"/>
  <c r="N198" i="1" s="1"/>
  <c r="N199" i="1" a="1"/>
  <c r="N199" i="1" s="1"/>
  <c r="N200" i="1" a="1"/>
  <c r="N200" i="1" s="1"/>
  <c r="N201" i="1" a="1"/>
  <c r="N201" i="1" s="1"/>
  <c r="N202" i="1" a="1"/>
  <c r="N202" i="1" s="1"/>
  <c r="N203" i="1" a="1"/>
  <c r="N203" i="1" s="1"/>
  <c r="N204" i="1" a="1"/>
  <c r="N204" i="1" s="1"/>
  <c r="N205" i="1" a="1"/>
  <c r="N205" i="1" s="1"/>
  <c r="N206" i="1" a="1"/>
  <c r="N206" i="1" s="1"/>
  <c r="N207" i="1" a="1"/>
  <c r="N207" i="1" s="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s="1"/>
  <c r="N222" i="1" a="1"/>
  <c r="N222" i="1" s="1"/>
  <c r="N223" i="1" a="1"/>
  <c r="N223" i="1" s="1"/>
  <c r="N224" i="1" a="1"/>
  <c r="N224" i="1" s="1"/>
  <c r="N225" i="1" a="1"/>
  <c r="N225" i="1" s="1"/>
  <c r="N226" i="1" a="1"/>
  <c r="N226" i="1" s="1"/>
  <c r="N227" i="1" a="1"/>
  <c r="N227" i="1" s="1"/>
  <c r="N228" i="1" a="1"/>
  <c r="N228" i="1" s="1"/>
  <c r="N229" i="1" a="1"/>
  <c r="N229" i="1" s="1"/>
  <c r="N230" i="1" a="1"/>
  <c r="N230" i="1" s="1"/>
  <c r="N231" i="1" a="1"/>
  <c r="N231" i="1" s="1"/>
  <c r="N232" i="1" a="1"/>
  <c r="N232" i="1" s="1"/>
  <c r="N233" i="1" a="1"/>
  <c r="N233" i="1" s="1"/>
  <c r="N234" i="1" a="1"/>
  <c r="N234" i="1" s="1"/>
  <c r="N235" i="1" a="1"/>
  <c r="N235" i="1" s="1"/>
  <c r="N236" i="1" a="1"/>
  <c r="N236" i="1" s="1"/>
  <c r="N237" i="1" a="1"/>
  <c r="N237" i="1" s="1"/>
  <c r="N238" i="1" a="1"/>
  <c r="N238" i="1" s="1"/>
  <c r="N239" i="1" a="1"/>
  <c r="N239" i="1" s="1"/>
  <c r="N240" i="1" a="1"/>
  <c r="N240" i="1" s="1"/>
  <c r="N241" i="1" a="1"/>
  <c r="N241" i="1" s="1"/>
  <c r="N242" i="1" a="1"/>
  <c r="N242" i="1" s="1"/>
  <c r="N243" i="1" a="1"/>
  <c r="N243" i="1" s="1"/>
  <c r="N244" i="1" a="1"/>
  <c r="N244" i="1" s="1"/>
  <c r="N245" i="1" a="1"/>
  <c r="N245" i="1" s="1"/>
  <c r="N246" i="1" a="1"/>
  <c r="N246" i="1" s="1"/>
  <c r="N247" i="1" a="1"/>
  <c r="N247" i="1" s="1"/>
  <c r="N248" i="1" a="1"/>
  <c r="N248" i="1" s="1"/>
  <c r="N249" i="1" a="1"/>
  <c r="N249" i="1" s="1"/>
  <c r="N250" i="1" a="1"/>
  <c r="N250" i="1" s="1"/>
  <c r="N251" i="1" a="1"/>
  <c r="N251" i="1" s="1"/>
  <c r="N252" i="1" a="1"/>
  <c r="N252" i="1" s="1"/>
  <c r="N253" i="1" a="1"/>
  <c r="N253" i="1" s="1"/>
  <c r="N254" i="1" a="1"/>
  <c r="N254" i="1" s="1"/>
  <c r="N255" i="1" a="1"/>
  <c r="N255" i="1" s="1"/>
  <c r="N256" i="1" a="1"/>
  <c r="N256" i="1" s="1"/>
  <c r="N257" i="1" a="1"/>
  <c r="N257" i="1" s="1"/>
  <c r="N258" i="1" a="1"/>
  <c r="N258" i="1" s="1"/>
  <c r="N259" i="1" a="1"/>
  <c r="N259" i="1" s="1"/>
  <c r="N260" i="1" a="1"/>
  <c r="N260" i="1" s="1"/>
  <c r="N261" i="1" a="1"/>
  <c r="N261" i="1" s="1"/>
  <c r="N262" i="1" a="1"/>
  <c r="N262" i="1" s="1"/>
  <c r="N263" i="1" a="1"/>
  <c r="N263" i="1" s="1"/>
  <c r="N264" i="1" a="1"/>
  <c r="N264" i="1" s="1"/>
  <c r="N265" i="1" a="1"/>
  <c r="N265" i="1" s="1"/>
  <c r="N266" i="1" a="1"/>
  <c r="N266" i="1" s="1"/>
  <c r="N267" i="1" a="1"/>
  <c r="N267" i="1" s="1"/>
  <c r="N268" i="1" a="1"/>
  <c r="N268" i="1" s="1"/>
  <c r="N269" i="1" a="1"/>
  <c r="N269" i="1" s="1"/>
  <c r="N270" i="1" a="1"/>
  <c r="N270" i="1" s="1"/>
  <c r="N271" i="1" a="1"/>
  <c r="N271" i="1" s="1"/>
  <c r="N272" i="1" a="1"/>
  <c r="N272" i="1" s="1"/>
  <c r="N273" i="1" a="1"/>
  <c r="N273" i="1" s="1"/>
  <c r="N274" i="1" a="1"/>
  <c r="N274" i="1" s="1"/>
  <c r="N275" i="1" a="1"/>
  <c r="N275" i="1" s="1"/>
  <c r="N276" i="1" a="1"/>
  <c r="N276" i="1" s="1"/>
  <c r="N277" i="1" a="1"/>
  <c r="N277" i="1" s="1"/>
  <c r="N278" i="1" a="1"/>
  <c r="N278" i="1" s="1"/>
  <c r="N279" i="1" a="1"/>
  <c r="N279" i="1" s="1"/>
  <c r="N280" i="1" a="1"/>
  <c r="N280" i="1" s="1"/>
  <c r="N281" i="1" a="1"/>
  <c r="N281" i="1" s="1"/>
  <c r="N282" i="1" a="1"/>
  <c r="N282" i="1" s="1"/>
  <c r="N283" i="1" a="1"/>
  <c r="N283" i="1" s="1"/>
  <c r="N284" i="1" a="1"/>
  <c r="N284" i="1" s="1"/>
  <c r="N285" i="1" a="1"/>
  <c r="N285" i="1" s="1"/>
  <c r="N286" i="1" a="1"/>
  <c r="N286" i="1" s="1"/>
  <c r="N287" i="1" a="1"/>
  <c r="N287" i="1" s="1"/>
  <c r="N288" i="1" a="1"/>
  <c r="N288" i="1" s="1"/>
  <c r="N289" i="1" a="1"/>
  <c r="N289" i="1" s="1"/>
  <c r="N290" i="1" a="1"/>
  <c r="N290" i="1" s="1"/>
  <c r="N291" i="1" a="1"/>
  <c r="N291" i="1" s="1"/>
  <c r="N292" i="1" a="1"/>
  <c r="N292" i="1" s="1"/>
  <c r="N293" i="1" a="1"/>
  <c r="N293" i="1" s="1"/>
  <c r="N294" i="1" a="1"/>
  <c r="N294" i="1" s="1"/>
  <c r="N295" i="1" a="1"/>
  <c r="N295" i="1" s="1"/>
  <c r="N296" i="1" a="1"/>
  <c r="N296" i="1" s="1"/>
  <c r="N297" i="1" a="1"/>
  <c r="N297" i="1" s="1"/>
  <c r="N298" i="1" a="1"/>
  <c r="N298" i="1" s="1"/>
  <c r="N299" i="1" a="1"/>
  <c r="N299" i="1" s="1"/>
  <c r="N300" i="1" a="1"/>
  <c r="N300" i="1" s="1"/>
  <c r="N301" i="1" a="1"/>
  <c r="N301" i="1" s="1"/>
  <c r="N302" i="1" a="1"/>
  <c r="N302" i="1" s="1"/>
  <c r="N303" i="1" a="1"/>
  <c r="N303" i="1" s="1"/>
  <c r="N304" i="1" a="1"/>
  <c r="N304" i="1" s="1"/>
  <c r="N305" i="1" a="1"/>
  <c r="N305" i="1" s="1"/>
  <c r="N306" i="1" a="1"/>
  <c r="N306" i="1" s="1"/>
  <c r="N307" i="1" a="1"/>
  <c r="N307" i="1" s="1"/>
  <c r="N308" i="1" a="1"/>
  <c r="N308" i="1" s="1"/>
  <c r="N309" i="1" a="1"/>
  <c r="N309" i="1" s="1"/>
  <c r="N310" i="1" a="1"/>
  <c r="N310" i="1" s="1"/>
  <c r="N311" i="1" a="1"/>
  <c r="N311" i="1" s="1"/>
  <c r="N312" i="1" a="1"/>
  <c r="N312" i="1" s="1"/>
  <c r="N313" i="1" a="1"/>
  <c r="N313" i="1" s="1"/>
  <c r="N314" i="1" a="1"/>
  <c r="N314" i="1" s="1"/>
  <c r="N315" i="1" a="1"/>
  <c r="N315" i="1" s="1"/>
  <c r="N316" i="1" a="1"/>
  <c r="N316" i="1" s="1"/>
  <c r="N317" i="1" a="1"/>
  <c r="N317" i="1" s="1"/>
  <c r="N318" i="1" a="1"/>
  <c r="N318" i="1" s="1"/>
  <c r="N319" i="1" a="1"/>
  <c r="N319" i="1" s="1"/>
  <c r="N320" i="1" a="1"/>
  <c r="N320" i="1" s="1"/>
  <c r="N321" i="1" a="1"/>
  <c r="N321" i="1" s="1"/>
  <c r="N322" i="1" a="1"/>
  <c r="N322" i="1" s="1"/>
  <c r="N323" i="1" a="1"/>
  <c r="N323" i="1" s="1"/>
  <c r="N324" i="1" a="1"/>
  <c r="N324" i="1" s="1"/>
  <c r="N325" i="1" a="1"/>
  <c r="N325" i="1" s="1"/>
  <c r="N326" i="1" a="1"/>
  <c r="N326" i="1" s="1"/>
  <c r="N327" i="1" a="1"/>
  <c r="N327" i="1" s="1"/>
  <c r="N328" i="1" a="1"/>
  <c r="N328" i="1" s="1"/>
  <c r="N329" i="1" a="1"/>
  <c r="N329" i="1" s="1"/>
  <c r="N330" i="1" a="1"/>
  <c r="N330" i="1" s="1"/>
  <c r="N331" i="1" a="1"/>
  <c r="N331" i="1" s="1"/>
  <c r="N332" i="1" a="1"/>
  <c r="N332" i="1" s="1"/>
  <c r="N333" i="1" a="1"/>
  <c r="N333" i="1" s="1"/>
  <c r="N334" i="1" a="1"/>
  <c r="N334" i="1" s="1"/>
  <c r="N335" i="1" a="1"/>
  <c r="N335" i="1" s="1"/>
  <c r="N336" i="1" a="1"/>
  <c r="N336" i="1" s="1"/>
  <c r="N337" i="1" a="1"/>
  <c r="N337" i="1" s="1"/>
  <c r="N338" i="1" a="1"/>
  <c r="N338" i="1" s="1"/>
  <c r="N339" i="1" a="1"/>
  <c r="N339" i="1" s="1"/>
  <c r="N340" i="1" a="1"/>
  <c r="N340" i="1" s="1"/>
  <c r="N341" i="1" a="1"/>
  <c r="N341" i="1" s="1"/>
  <c r="N342" i="1" a="1"/>
  <c r="N342" i="1" s="1"/>
  <c r="N343" i="1" a="1"/>
  <c r="N343" i="1" s="1"/>
  <c r="N344" i="1" a="1"/>
  <c r="N344" i="1" s="1"/>
  <c r="N345" i="1" a="1"/>
  <c r="N345" i="1" s="1"/>
  <c r="N346" i="1" a="1"/>
  <c r="N346" i="1" s="1"/>
  <c r="N347" i="1" a="1"/>
  <c r="N347" i="1" s="1"/>
  <c r="N348" i="1" a="1"/>
  <c r="N348" i="1" s="1"/>
  <c r="N349" i="1" a="1"/>
  <c r="N349" i="1" s="1"/>
  <c r="N350" i="1" a="1"/>
  <c r="N350" i="1" s="1"/>
  <c r="N351" i="1" a="1"/>
  <c r="N351" i="1" s="1"/>
  <c r="N352" i="1" a="1"/>
  <c r="N352" i="1" s="1"/>
  <c r="N353" i="1" a="1"/>
  <c r="N353" i="1" s="1"/>
  <c r="N354" i="1" a="1"/>
  <c r="N354" i="1" s="1"/>
  <c r="N355" i="1" a="1"/>
  <c r="N355" i="1" s="1"/>
  <c r="N356" i="1" a="1"/>
  <c r="N356" i="1" s="1"/>
  <c r="N357" i="1" a="1"/>
  <c r="N357" i="1" s="1"/>
  <c r="N358" i="1" a="1"/>
  <c r="N358" i="1" s="1"/>
  <c r="N359" i="1" a="1"/>
  <c r="N359" i="1" s="1"/>
  <c r="N360" i="1" a="1"/>
  <c r="N360" i="1" s="1"/>
  <c r="N361" i="1" a="1"/>
  <c r="N361" i="1" s="1"/>
  <c r="N362" i="1" a="1"/>
  <c r="N362" i="1" s="1"/>
  <c r="N363" i="1" a="1"/>
  <c r="N363" i="1" s="1"/>
  <c r="N364" i="1" a="1"/>
  <c r="N364" i="1" s="1"/>
  <c r="N365" i="1" a="1"/>
  <c r="N365" i="1" s="1"/>
  <c r="N366" i="1" a="1"/>
  <c r="N366" i="1" s="1"/>
  <c r="N367" i="1" a="1"/>
  <c r="N367" i="1" s="1"/>
  <c r="N368" i="1" a="1"/>
  <c r="N368" i="1" s="1"/>
  <c r="N369" i="1" a="1"/>
  <c r="N369" i="1" s="1"/>
  <c r="N370" i="1" a="1"/>
  <c r="N370" i="1" s="1"/>
  <c r="N371" i="1" a="1"/>
  <c r="N371" i="1" s="1"/>
  <c r="N372" i="1" a="1"/>
  <c r="N372" i="1" s="1"/>
  <c r="N373" i="1" a="1"/>
  <c r="N373" i="1" s="1"/>
  <c r="N374" i="1" a="1"/>
  <c r="N374" i="1" s="1"/>
  <c r="N375" i="1" a="1"/>
  <c r="N375" i="1" s="1"/>
  <c r="N376" i="1" a="1"/>
  <c r="N376" i="1" s="1"/>
  <c r="N377" i="1" a="1"/>
  <c r="N377" i="1" s="1"/>
  <c r="N378" i="1" a="1"/>
  <c r="N378" i="1" s="1"/>
  <c r="N379" i="1" a="1"/>
  <c r="N379" i="1" s="1"/>
  <c r="N380" i="1" a="1"/>
  <c r="N380" i="1" s="1"/>
  <c r="N381" i="1" a="1"/>
  <c r="N381" i="1" s="1"/>
  <c r="N382" i="1" a="1"/>
  <c r="N382" i="1" s="1"/>
  <c r="N383" i="1" a="1"/>
  <c r="N383" i="1" s="1"/>
  <c r="N384" i="1" a="1"/>
  <c r="N384" i="1" s="1"/>
  <c r="N385" i="1" a="1"/>
  <c r="N385" i="1" s="1"/>
  <c r="N386" i="1" a="1"/>
  <c r="N386" i="1" s="1"/>
  <c r="N387" i="1" a="1"/>
  <c r="N387" i="1" s="1"/>
  <c r="N388" i="1" a="1"/>
  <c r="N388" i="1" s="1"/>
  <c r="N389" i="1" a="1"/>
  <c r="N389" i="1" s="1"/>
  <c r="N390" i="1" a="1"/>
  <c r="N390" i="1" s="1"/>
  <c r="N391" i="1" a="1"/>
  <c r="N391" i="1" s="1"/>
  <c r="N392" i="1" a="1"/>
  <c r="N392" i="1" s="1"/>
  <c r="N393" i="1" a="1"/>
  <c r="N393" i="1" s="1"/>
  <c r="N394" i="1" a="1"/>
  <c r="N394" i="1" s="1"/>
  <c r="N395" i="1" a="1"/>
  <c r="N395" i="1" s="1"/>
  <c r="N396" i="1" a="1"/>
  <c r="N396" i="1" s="1"/>
  <c r="N397" i="1" a="1"/>
  <c r="N397" i="1" s="1"/>
  <c r="N398" i="1" a="1"/>
  <c r="N398" i="1" s="1"/>
  <c r="N399" i="1" a="1"/>
  <c r="N399" i="1" s="1"/>
  <c r="N400" i="1" a="1"/>
  <c r="N400" i="1" s="1"/>
  <c r="N401" i="1" a="1"/>
  <c r="N401" i="1" s="1"/>
  <c r="N402" i="1" a="1"/>
  <c r="N402" i="1" s="1"/>
  <c r="N403" i="1" a="1"/>
  <c r="N403" i="1" s="1"/>
  <c r="N404" i="1" a="1"/>
  <c r="N404" i="1" s="1"/>
  <c r="N405" i="1" a="1"/>
  <c r="N405" i="1" s="1"/>
  <c r="N406" i="1" a="1"/>
  <c r="N406" i="1" s="1"/>
  <c r="N407" i="1" a="1"/>
  <c r="N407" i="1" s="1"/>
  <c r="N408" i="1" a="1"/>
  <c r="N408" i="1" s="1"/>
  <c r="N409" i="1" a="1"/>
  <c r="N409" i="1" s="1"/>
  <c r="N410" i="1" a="1"/>
  <c r="N410" i="1" s="1"/>
  <c r="N411" i="1" a="1"/>
  <c r="N411" i="1" s="1"/>
  <c r="N412" i="1" a="1"/>
  <c r="N412" i="1" s="1"/>
  <c r="N413" i="1" a="1"/>
  <c r="N413" i="1" s="1"/>
  <c r="N414" i="1" a="1"/>
  <c r="N414" i="1" s="1"/>
  <c r="N415" i="1" a="1"/>
  <c r="N415" i="1" s="1"/>
  <c r="N416" i="1" a="1"/>
  <c r="N416" i="1" s="1"/>
  <c r="N417" i="1" a="1"/>
  <c r="N417" i="1" s="1"/>
  <c r="N418" i="1" a="1"/>
  <c r="N418" i="1" s="1"/>
  <c r="N419" i="1" a="1"/>
  <c r="N419" i="1" s="1"/>
  <c r="N420" i="1" a="1"/>
  <c r="N420" i="1" s="1"/>
  <c r="N421" i="1" a="1"/>
  <c r="N421" i="1" s="1"/>
  <c r="N422" i="1" a="1"/>
  <c r="N422" i="1" s="1"/>
  <c r="N423" i="1" a="1"/>
  <c r="N423" i="1" s="1"/>
  <c r="N424" i="1" a="1"/>
  <c r="N424" i="1" s="1"/>
  <c r="N425" i="1" a="1"/>
  <c r="N425" i="1" s="1"/>
  <c r="N426" i="1" a="1"/>
  <c r="N426" i="1" s="1"/>
  <c r="N427" i="1" a="1"/>
  <c r="N427" i="1" s="1"/>
  <c r="N428" i="1" a="1"/>
  <c r="N428" i="1" s="1"/>
  <c r="N429" i="1" a="1"/>
  <c r="N429" i="1" s="1"/>
  <c r="N430" i="1" a="1"/>
  <c r="N430" i="1" s="1"/>
  <c r="N431" i="1" a="1"/>
  <c r="N431" i="1" s="1"/>
  <c r="N432" i="1" a="1"/>
  <c r="N432" i="1" s="1"/>
  <c r="N433" i="1" a="1"/>
  <c r="N433" i="1" s="1"/>
  <c r="N434" i="1" a="1"/>
  <c r="N434" i="1" s="1"/>
  <c r="N435" i="1" a="1"/>
  <c r="N435" i="1" s="1"/>
  <c r="N436" i="1" a="1"/>
  <c r="N436" i="1" s="1"/>
  <c r="N437" i="1" a="1"/>
  <c r="N437" i="1" s="1"/>
  <c r="N438" i="1" a="1"/>
  <c r="N438" i="1" s="1"/>
  <c r="N439" i="1" a="1"/>
  <c r="N439" i="1" s="1"/>
  <c r="N440" i="1" a="1"/>
  <c r="N440" i="1" s="1"/>
  <c r="N441" i="1" a="1"/>
  <c r="N441" i="1" s="1"/>
  <c r="N442" i="1" a="1"/>
  <c r="N442" i="1" s="1"/>
  <c r="N443" i="1" a="1"/>
  <c r="N443" i="1" s="1"/>
  <c r="N444" i="1" a="1"/>
  <c r="N444" i="1" s="1"/>
  <c r="N445" i="1" a="1"/>
  <c r="N445" i="1" s="1"/>
  <c r="N446" i="1" a="1"/>
  <c r="N446" i="1" s="1"/>
  <c r="N447" i="1" a="1"/>
  <c r="N447" i="1" s="1"/>
  <c r="N448" i="1" a="1"/>
  <c r="N448" i="1" s="1"/>
  <c r="N449" i="1" a="1"/>
  <c r="N449" i="1" s="1"/>
  <c r="N450" i="1" a="1"/>
  <c r="N450" i="1" s="1"/>
  <c r="N451" i="1" a="1"/>
  <c r="N451" i="1" s="1"/>
  <c r="N452" i="1" a="1"/>
  <c r="N452" i="1" s="1"/>
  <c r="N453" i="1" a="1"/>
  <c r="N453" i="1" s="1"/>
  <c r="N454" i="1" a="1"/>
  <c r="N454" i="1" s="1"/>
  <c r="N455" i="1" a="1"/>
  <c r="N455" i="1" s="1"/>
  <c r="N456" i="1" a="1"/>
  <c r="N456" i="1" s="1"/>
  <c r="N457" i="1" a="1"/>
  <c r="N457" i="1" s="1"/>
  <c r="N458" i="1" a="1"/>
  <c r="N458" i="1" s="1"/>
  <c r="N459" i="1" a="1"/>
  <c r="N459" i="1" s="1"/>
  <c r="N460" i="1" a="1"/>
  <c r="N460" i="1" s="1"/>
  <c r="N461" i="1" a="1"/>
  <c r="N461" i="1" s="1"/>
  <c r="N462" i="1" a="1"/>
  <c r="N462" i="1" s="1"/>
  <c r="N463" i="1" a="1"/>
  <c r="N463" i="1" s="1"/>
  <c r="N464" i="1" a="1"/>
  <c r="N464" i="1" s="1"/>
  <c r="N465" i="1" a="1"/>
  <c r="N465" i="1" s="1"/>
  <c r="N466" i="1" a="1"/>
  <c r="N466" i="1" s="1"/>
  <c r="N467" i="1" a="1"/>
  <c r="N467" i="1" s="1"/>
  <c r="N468" i="1" a="1"/>
  <c r="N468" i="1" s="1"/>
  <c r="N469" i="1" a="1"/>
  <c r="N469" i="1" s="1"/>
  <c r="N470" i="1" a="1"/>
  <c r="N470" i="1" s="1"/>
  <c r="N471" i="1" a="1"/>
  <c r="N471" i="1" s="1"/>
  <c r="N472" i="1" a="1"/>
  <c r="N472" i="1" s="1"/>
  <c r="N473" i="1" a="1"/>
  <c r="N473" i="1" s="1"/>
  <c r="N474" i="1" a="1"/>
  <c r="N474" i="1" s="1"/>
  <c r="N475" i="1" a="1"/>
  <c r="N475" i="1" s="1"/>
  <c r="N476" i="1" a="1"/>
  <c r="N476" i="1" s="1"/>
  <c r="N477" i="1" a="1"/>
  <c r="N477" i="1" s="1"/>
  <c r="N478" i="1" a="1"/>
  <c r="N478" i="1" s="1"/>
  <c r="N479" i="1" a="1"/>
  <c r="N479" i="1" s="1"/>
  <c r="N480" i="1" a="1"/>
  <c r="N480" i="1" s="1"/>
  <c r="N481" i="1" a="1"/>
  <c r="N481" i="1" s="1"/>
  <c r="N482" i="1" a="1"/>
  <c r="N482" i="1" s="1"/>
  <c r="N483" i="1" a="1"/>
  <c r="N483" i="1" s="1"/>
  <c r="N484" i="1" a="1"/>
  <c r="N484" i="1" s="1"/>
  <c r="N485" i="1" a="1"/>
  <c r="N485" i="1" s="1"/>
  <c r="N486" i="1" a="1"/>
  <c r="N486" i="1" s="1"/>
  <c r="N487" i="1" a="1"/>
  <c r="N487" i="1" s="1"/>
  <c r="N488" i="1" a="1"/>
  <c r="N488" i="1" s="1"/>
  <c r="N489" i="1" a="1"/>
  <c r="N489" i="1" s="1"/>
  <c r="N490" i="1" a="1"/>
  <c r="N490" i="1" s="1"/>
  <c r="N491" i="1" a="1"/>
  <c r="N491" i="1" s="1"/>
  <c r="N492" i="1" a="1"/>
  <c r="N492" i="1" s="1"/>
  <c r="N493" i="1" a="1"/>
  <c r="N493" i="1" s="1"/>
  <c r="N494" i="1" a="1"/>
  <c r="N494" i="1" s="1"/>
  <c r="N495" i="1" a="1"/>
  <c r="N495" i="1" s="1"/>
  <c r="N496" i="1" a="1"/>
  <c r="N496" i="1" s="1"/>
  <c r="N497" i="1" a="1"/>
  <c r="N497" i="1" s="1"/>
  <c r="N498" i="1" a="1"/>
  <c r="N498" i="1" s="1"/>
  <c r="N499" i="1" a="1"/>
  <c r="N499" i="1" s="1"/>
  <c r="N500" i="1" a="1"/>
  <c r="N500" i="1" s="1"/>
  <c r="N501" i="1" a="1"/>
  <c r="N501" i="1" s="1"/>
  <c r="N502" i="1" a="1"/>
  <c r="N502" i="1" s="1"/>
  <c r="N503" i="1" a="1"/>
  <c r="N503" i="1" s="1"/>
  <c r="N504" i="1" a="1"/>
  <c r="N504" i="1" s="1"/>
  <c r="N505" i="1" a="1"/>
  <c r="N505" i="1" s="1"/>
  <c r="N506" i="1" a="1"/>
  <c r="N506" i="1" s="1"/>
  <c r="N507" i="1" a="1"/>
  <c r="N507" i="1" s="1"/>
  <c r="N508" i="1" a="1"/>
  <c r="N508" i="1" s="1"/>
  <c r="N509" i="1" a="1"/>
  <c r="N509" i="1" s="1"/>
  <c r="N510" i="1" a="1"/>
  <c r="N510" i="1" s="1"/>
  <c r="N511" i="1" a="1"/>
  <c r="N511" i="1" s="1"/>
  <c r="N512" i="1" a="1"/>
  <c r="N512" i="1" s="1"/>
  <c r="N513" i="1" a="1"/>
  <c r="N513" i="1" s="1"/>
  <c r="N514" i="1" a="1"/>
  <c r="N514" i="1" s="1"/>
  <c r="N515" i="1" a="1"/>
  <c r="N515" i="1" s="1"/>
  <c r="N516" i="1" a="1"/>
  <c r="N516" i="1" s="1"/>
  <c r="N517" i="1" a="1"/>
  <c r="N517" i="1" s="1"/>
  <c r="N518" i="1" a="1"/>
  <c r="N518" i="1" s="1"/>
  <c r="N519" i="1" a="1"/>
  <c r="N519" i="1" s="1"/>
  <c r="N520" i="1" a="1"/>
  <c r="N520" i="1" s="1"/>
  <c r="N521" i="1" a="1"/>
  <c r="N521" i="1" s="1"/>
  <c r="N522" i="1" a="1"/>
  <c r="N522" i="1" s="1"/>
  <c r="N523" i="1" a="1"/>
  <c r="N523" i="1" s="1"/>
  <c r="N524" i="1" a="1"/>
  <c r="N524" i="1" s="1"/>
  <c r="N525" i="1" a="1"/>
  <c r="N525" i="1" s="1"/>
  <c r="N526" i="1" a="1"/>
  <c r="N526" i="1" s="1"/>
  <c r="N527" i="1" a="1"/>
  <c r="N527" i="1" s="1"/>
  <c r="N528" i="1" a="1"/>
  <c r="N528" i="1" s="1"/>
  <c r="N529" i="1" a="1"/>
  <c r="N529" i="1" s="1"/>
  <c r="N530" i="1" a="1"/>
  <c r="N530" i="1" s="1"/>
  <c r="N531" i="1" a="1"/>
  <c r="N531" i="1" s="1"/>
  <c r="N532" i="1" a="1"/>
  <c r="N532" i="1" s="1"/>
  <c r="N533" i="1" a="1"/>
  <c r="N533" i="1" s="1"/>
  <c r="N534" i="1" a="1"/>
  <c r="N534" i="1" s="1"/>
  <c r="N535" i="1" a="1"/>
  <c r="N535" i="1" s="1"/>
  <c r="N536" i="1" a="1"/>
  <c r="N536" i="1" s="1"/>
  <c r="N537" i="1" a="1"/>
  <c r="N537" i="1" s="1"/>
  <c r="N538" i="1" a="1"/>
  <c r="N538" i="1" s="1"/>
  <c r="N539" i="1" a="1"/>
  <c r="N539" i="1" s="1"/>
  <c r="N540" i="1" a="1"/>
  <c r="N540" i="1" s="1"/>
  <c r="N541" i="1" a="1"/>
  <c r="N541" i="1" s="1"/>
  <c r="N542" i="1" a="1"/>
  <c r="N542" i="1" s="1"/>
  <c r="N543" i="1" a="1"/>
  <c r="N543" i="1" s="1"/>
  <c r="N544" i="1" a="1"/>
  <c r="N544" i="1" s="1"/>
  <c r="N545" i="1" a="1"/>
  <c r="N545" i="1" s="1"/>
  <c r="N546" i="1" a="1"/>
  <c r="N546" i="1" s="1"/>
  <c r="N547" i="1" a="1"/>
  <c r="N547" i="1" s="1"/>
  <c r="N548" i="1" a="1"/>
  <c r="N548" i="1" s="1"/>
  <c r="N549" i="1" a="1"/>
  <c r="N549" i="1" s="1"/>
  <c r="N550" i="1" a="1"/>
  <c r="N550" i="1" s="1"/>
  <c r="N551" i="1" a="1"/>
  <c r="N551" i="1" s="1"/>
  <c r="N552" i="1" a="1"/>
  <c r="N552" i="1" s="1"/>
  <c r="N553" i="1" a="1"/>
  <c r="N553" i="1" s="1"/>
  <c r="N554" i="1" a="1"/>
  <c r="N554" i="1" s="1"/>
  <c r="N555" i="1" a="1"/>
  <c r="N555" i="1" s="1"/>
  <c r="N556" i="1" a="1"/>
  <c r="N556" i="1" s="1"/>
  <c r="N557" i="1" a="1"/>
  <c r="N557" i="1" s="1"/>
  <c r="N558" i="1" a="1"/>
  <c r="N558" i="1" s="1"/>
  <c r="N559" i="1" a="1"/>
  <c r="N559" i="1" s="1"/>
  <c r="N560" i="1" a="1"/>
  <c r="N560" i="1" s="1"/>
  <c r="N561" i="1" a="1"/>
  <c r="N561" i="1" s="1"/>
  <c r="N562" i="1" a="1"/>
  <c r="N562" i="1" s="1"/>
  <c r="N563" i="1" a="1"/>
  <c r="N563" i="1" s="1"/>
  <c r="N564" i="1" a="1"/>
  <c r="N564" i="1" s="1"/>
  <c r="N565" i="1" a="1"/>
  <c r="N565" i="1" s="1"/>
  <c r="N566" i="1" a="1"/>
  <c r="N566" i="1" s="1"/>
  <c r="N567" i="1" a="1"/>
  <c r="N567" i="1" s="1"/>
  <c r="N568" i="1" a="1"/>
  <c r="N568" i="1" s="1"/>
  <c r="N569" i="1" a="1"/>
  <c r="N569" i="1" s="1"/>
  <c r="N570" i="1" a="1"/>
  <c r="N570" i="1" s="1"/>
  <c r="N571" i="1" a="1"/>
  <c r="N571" i="1" s="1"/>
  <c r="N572" i="1" a="1"/>
  <c r="N572" i="1" s="1"/>
  <c r="N573" i="1" a="1"/>
  <c r="N573" i="1" s="1"/>
  <c r="N574" i="1" a="1"/>
  <c r="N574" i="1" s="1"/>
  <c r="N575" i="1" a="1"/>
  <c r="N575" i="1" s="1"/>
  <c r="N576" i="1" a="1"/>
  <c r="N576" i="1" s="1"/>
  <c r="N577" i="1" a="1"/>
  <c r="N577" i="1" s="1"/>
  <c r="N578" i="1" a="1"/>
  <c r="N578" i="1" s="1"/>
  <c r="N579" i="1" a="1"/>
  <c r="N579" i="1" s="1"/>
  <c r="N580" i="1" a="1"/>
  <c r="N580" i="1" s="1"/>
  <c r="N581" i="1" a="1"/>
  <c r="N581" i="1" s="1"/>
  <c r="N582" i="1" a="1"/>
  <c r="N582" i="1" s="1"/>
  <c r="N583" i="1" a="1"/>
  <c r="N583" i="1" s="1"/>
  <c r="N584" i="1" a="1"/>
  <c r="N584" i="1" s="1"/>
  <c r="N585" i="1" a="1"/>
  <c r="N585" i="1" s="1"/>
  <c r="N586" i="1" a="1"/>
  <c r="N586" i="1" s="1"/>
  <c r="N587" i="1" a="1"/>
  <c r="N587" i="1" s="1"/>
  <c r="N588" i="1" a="1"/>
  <c r="N588" i="1" s="1"/>
  <c r="N589" i="1" a="1"/>
  <c r="N589" i="1" s="1"/>
  <c r="N590" i="1" a="1"/>
  <c r="N590" i="1" s="1"/>
  <c r="N591" i="1" a="1"/>
  <c r="N591" i="1" s="1"/>
  <c r="N592" i="1" a="1"/>
  <c r="N592" i="1" s="1"/>
  <c r="N593" i="1" a="1"/>
  <c r="N593" i="1" s="1"/>
  <c r="N594" i="1" a="1"/>
  <c r="N594" i="1" s="1"/>
  <c r="N595" i="1" a="1"/>
  <c r="N595" i="1" s="1"/>
  <c r="N596" i="1" a="1"/>
  <c r="N596" i="1" s="1"/>
  <c r="N597" i="1" a="1"/>
  <c r="N597" i="1" s="1"/>
  <c r="N598" i="1" a="1"/>
  <c r="N598" i="1" s="1"/>
  <c r="N599" i="1" a="1"/>
  <c r="N599" i="1" s="1"/>
  <c r="N600" i="1" a="1"/>
  <c r="N600" i="1" s="1"/>
  <c r="N601" i="1" a="1"/>
  <c r="N601" i="1" s="1"/>
  <c r="N602" i="1" a="1"/>
  <c r="N602" i="1" s="1"/>
  <c r="N603" i="1" a="1"/>
  <c r="N603" i="1" s="1"/>
  <c r="N604" i="1" a="1"/>
  <c r="N604" i="1" s="1"/>
  <c r="N605" i="1" a="1"/>
  <c r="N605" i="1" s="1"/>
  <c r="N606" i="1" a="1"/>
  <c r="N606" i="1" s="1"/>
  <c r="N607" i="1" a="1"/>
  <c r="N607" i="1" s="1"/>
  <c r="N608" i="1" a="1"/>
  <c r="N608" i="1" s="1"/>
  <c r="N609" i="1" a="1"/>
  <c r="N609" i="1" s="1"/>
  <c r="N610" i="1" a="1"/>
  <c r="N610" i="1" s="1"/>
  <c r="N611" i="1" a="1"/>
  <c r="N611" i="1" s="1"/>
  <c r="N612" i="1" a="1"/>
  <c r="N612" i="1" s="1"/>
  <c r="N613" i="1" a="1"/>
  <c r="N613" i="1" s="1"/>
  <c r="N614" i="1" a="1"/>
  <c r="N614" i="1" s="1"/>
  <c r="N615" i="1" a="1"/>
  <c r="N615" i="1" s="1"/>
  <c r="N616" i="1" a="1"/>
  <c r="N616" i="1" s="1"/>
  <c r="N617" i="1" a="1"/>
  <c r="N617" i="1" s="1"/>
  <c r="N618" i="1" a="1"/>
  <c r="N618" i="1" s="1"/>
  <c r="N619" i="1" a="1"/>
  <c r="N619" i="1" s="1"/>
  <c r="N620" i="1" a="1"/>
  <c r="N620" i="1" s="1"/>
  <c r="N621" i="1" a="1"/>
  <c r="N621" i="1" s="1"/>
  <c r="N622" i="1" a="1"/>
  <c r="N622" i="1" s="1"/>
  <c r="N623" i="1" a="1"/>
  <c r="N623" i="1" s="1"/>
  <c r="N624" i="1" a="1"/>
  <c r="N624" i="1" s="1"/>
  <c r="N625" i="1" a="1"/>
  <c r="N625" i="1" s="1"/>
  <c r="N626" i="1" a="1"/>
  <c r="N626" i="1" s="1"/>
  <c r="N627" i="1" a="1"/>
  <c r="N627" i="1" s="1"/>
  <c r="N628" i="1" a="1"/>
  <c r="N628" i="1" s="1"/>
  <c r="N629" i="1" a="1"/>
  <c r="N629" i="1" s="1"/>
  <c r="N630" i="1" a="1"/>
  <c r="N630" i="1" s="1"/>
  <c r="N631" i="1" a="1"/>
  <c r="N631" i="1" s="1"/>
  <c r="N632" i="1" a="1"/>
  <c r="N632" i="1" s="1"/>
  <c r="N633" i="1" a="1"/>
  <c r="N633" i="1" s="1"/>
  <c r="N634" i="1" a="1"/>
  <c r="N634" i="1" s="1"/>
  <c r="N635" i="1" a="1"/>
  <c r="N635" i="1" s="1"/>
  <c r="N636" i="1" a="1"/>
  <c r="N636" i="1" s="1"/>
  <c r="N637" i="1" a="1"/>
  <c r="N637" i="1" s="1"/>
  <c r="N638" i="1" a="1"/>
  <c r="N638" i="1" s="1"/>
  <c r="N639" i="1" a="1"/>
  <c r="N639" i="1" s="1"/>
  <c r="N640" i="1" a="1"/>
  <c r="N640" i="1" s="1"/>
  <c r="N641" i="1" a="1"/>
  <c r="N641" i="1" s="1"/>
  <c r="N642" i="1" a="1"/>
  <c r="N642" i="1" s="1"/>
  <c r="N643" i="1" a="1"/>
  <c r="N643" i="1" s="1"/>
  <c r="N644" i="1" a="1"/>
  <c r="N644" i="1" s="1"/>
  <c r="N645" i="1" a="1"/>
  <c r="N645" i="1" s="1"/>
  <c r="N646" i="1" a="1"/>
  <c r="N646" i="1" s="1"/>
  <c r="N647" i="1" a="1"/>
  <c r="N647" i="1" s="1"/>
  <c r="N648" i="1" a="1"/>
  <c r="N648" i="1" s="1"/>
  <c r="N649" i="1" a="1"/>
  <c r="N649" i="1" s="1"/>
  <c r="N650" i="1" a="1"/>
  <c r="N650" i="1" s="1"/>
  <c r="N651" i="1" a="1"/>
  <c r="N651" i="1" s="1"/>
  <c r="N652" i="1" a="1"/>
  <c r="N652" i="1" s="1"/>
  <c r="N653" i="1" a="1"/>
  <c r="N653" i="1" s="1"/>
  <c r="N654" i="1" a="1"/>
  <c r="N654" i="1" s="1"/>
  <c r="N655" i="1" a="1"/>
  <c r="N655" i="1" s="1"/>
  <c r="N656" i="1" a="1"/>
  <c r="N656" i="1" s="1"/>
  <c r="N657" i="1" a="1"/>
  <c r="N657" i="1" s="1"/>
  <c r="N658" i="1" a="1"/>
  <c r="N658" i="1" s="1"/>
  <c r="N659" i="1" a="1"/>
  <c r="N659" i="1" s="1"/>
  <c r="N660" i="1" a="1"/>
  <c r="N660" i="1" s="1"/>
  <c r="N661" i="1" a="1"/>
  <c r="N661" i="1" s="1"/>
  <c r="N662" i="1" a="1"/>
  <c r="N662" i="1" s="1"/>
  <c r="N663" i="1" a="1"/>
  <c r="N663" i="1" s="1"/>
  <c r="N664" i="1" a="1"/>
  <c r="N664" i="1" s="1"/>
  <c r="N665" i="1" a="1"/>
  <c r="N665" i="1" s="1"/>
  <c r="N666" i="1" a="1"/>
  <c r="N666" i="1" s="1"/>
  <c r="N667" i="1" a="1"/>
  <c r="N667" i="1" s="1"/>
  <c r="N668" i="1" a="1"/>
  <c r="N668" i="1" s="1"/>
  <c r="N669" i="1" a="1"/>
  <c r="N669" i="1" s="1"/>
  <c r="N670" i="1" a="1"/>
  <c r="N670" i="1" s="1"/>
  <c r="N671" i="1" a="1"/>
  <c r="N671" i="1" s="1"/>
  <c r="N672" i="1" a="1"/>
  <c r="N672" i="1" s="1"/>
  <c r="N673" i="1" a="1"/>
  <c r="N673" i="1" s="1"/>
  <c r="N674" i="1" a="1"/>
  <c r="N674" i="1" s="1"/>
  <c r="N675" i="1" a="1"/>
  <c r="N675" i="1" s="1"/>
  <c r="N676" i="1" a="1"/>
  <c r="N676" i="1" s="1"/>
  <c r="N677" i="1" a="1"/>
  <c r="N677" i="1" s="1"/>
  <c r="N678" i="1" a="1"/>
  <c r="N678" i="1" s="1"/>
  <c r="N679" i="1" a="1"/>
  <c r="N679" i="1" s="1"/>
  <c r="N680" i="1" a="1"/>
  <c r="N680" i="1" s="1"/>
  <c r="N681" i="1" a="1"/>
  <c r="N681" i="1" s="1"/>
  <c r="N682" i="1" a="1"/>
  <c r="N682" i="1" s="1"/>
  <c r="N683" i="1" a="1"/>
  <c r="N683" i="1" s="1"/>
  <c r="N684" i="1" a="1"/>
  <c r="N684" i="1" s="1"/>
  <c r="N685" i="1" a="1"/>
  <c r="N685" i="1" s="1"/>
  <c r="N686" i="1" a="1"/>
  <c r="N686" i="1" s="1"/>
  <c r="N687" i="1" a="1"/>
  <c r="N687" i="1" s="1"/>
  <c r="N688" i="1" a="1"/>
  <c r="N688" i="1" s="1"/>
  <c r="N689" i="1" a="1"/>
  <c r="N689" i="1" s="1"/>
  <c r="N690" i="1" a="1"/>
  <c r="N690" i="1" s="1"/>
  <c r="N691" i="1" a="1"/>
  <c r="N691" i="1" s="1"/>
  <c r="N692" i="1" a="1"/>
  <c r="N692" i="1" s="1"/>
  <c r="N693" i="1" a="1"/>
  <c r="N693" i="1" s="1"/>
  <c r="N694" i="1" a="1"/>
  <c r="N694" i="1" s="1"/>
  <c r="N695" i="1" a="1"/>
  <c r="N695" i="1" s="1"/>
  <c r="N696" i="1" a="1"/>
  <c r="N696" i="1" s="1"/>
  <c r="N697" i="1" a="1"/>
  <c r="N697" i="1" s="1"/>
  <c r="N698" i="1" a="1"/>
  <c r="N698" i="1" s="1"/>
  <c r="N699" i="1" a="1"/>
  <c r="N699" i="1" s="1"/>
  <c r="N700" i="1" a="1"/>
  <c r="N700" i="1" s="1"/>
  <c r="N701" i="1" a="1"/>
  <c r="N701" i="1" s="1"/>
  <c r="N2" i="1" a="1"/>
  <c r="N2" i="1" s="1"/>
  <c r="B4" i="11"/>
  <c r="E4"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<sst xmlns="http://schemas.openxmlformats.org/spreadsheetml/2006/main" count="6364" uniqueCount="1049">
  <si>
    <t>Customer ID</t>
  </si>
  <si>
    <t>First Name</t>
  </si>
  <si>
    <t>Last Name</t>
  </si>
  <si>
    <t>Jason</t>
  </si>
  <si>
    <t>Wright</t>
  </si>
  <si>
    <t>jason.wright@gmail.com</t>
  </si>
  <si>
    <t>Donna</t>
  </si>
  <si>
    <t>Blake</t>
  </si>
  <si>
    <t>donna.blake@gmail.com</t>
  </si>
  <si>
    <t>Bond</t>
  </si>
  <si>
    <t>jason.bond@gmail.com</t>
  </si>
  <si>
    <t>Una</t>
  </si>
  <si>
    <t>King</t>
  </si>
  <si>
    <t>una.king@gmail.com</t>
  </si>
  <si>
    <t>Steven</t>
  </si>
  <si>
    <t>Walsh</t>
  </si>
  <si>
    <t>steven.walsh@gmail.com</t>
  </si>
  <si>
    <t>Joe</t>
  </si>
  <si>
    <t>Vance</t>
  </si>
  <si>
    <t>joe.vance@gmail.com</t>
  </si>
  <si>
    <t>Deirdre</t>
  </si>
  <si>
    <t>Mills</t>
  </si>
  <si>
    <t>deirdre.mills@gmail.com</t>
  </si>
  <si>
    <t>Adam</t>
  </si>
  <si>
    <t>Ince</t>
  </si>
  <si>
    <t>adam.ince@gmail.com</t>
  </si>
  <si>
    <t>Rose</t>
  </si>
  <si>
    <t>Clark</t>
  </si>
  <si>
    <t>rose.clark@gmail.com</t>
  </si>
  <si>
    <t>Wanda</t>
  </si>
  <si>
    <t>Lee</t>
  </si>
  <si>
    <t>wanda.lee@gmail.com</t>
  </si>
  <si>
    <t>Ruth</t>
  </si>
  <si>
    <t>Rutherford</t>
  </si>
  <si>
    <t>ruth.rutherford@gmail.com</t>
  </si>
  <si>
    <t>Claire</t>
  </si>
  <si>
    <t>Hamilton</t>
  </si>
  <si>
    <t>claire.hamilton@gmail.com</t>
  </si>
  <si>
    <t>Christopher</t>
  </si>
  <si>
    <t>MacDonald</t>
  </si>
  <si>
    <t>christopher.macdonald@gmail.com</t>
  </si>
  <si>
    <t>Carl</t>
  </si>
  <si>
    <t>Berry</t>
  </si>
  <si>
    <t>carl.berry@gmail.com</t>
  </si>
  <si>
    <t>Jane</t>
  </si>
  <si>
    <t>Anderson</t>
  </si>
  <si>
    <t>jane.anderson@gmail.com</t>
  </si>
  <si>
    <t>Jasmine</t>
  </si>
  <si>
    <t>Stewart</t>
  </si>
  <si>
    <t>jasmine.stewart@gmail.com</t>
  </si>
  <si>
    <t>Jacob</t>
  </si>
  <si>
    <t>jacob.bond@gmail.com</t>
  </si>
  <si>
    <t>Ryan</t>
  </si>
  <si>
    <t>Glover</t>
  </si>
  <si>
    <t>ryan.glover@gmail.com</t>
  </si>
  <si>
    <t>Madeleine</t>
  </si>
  <si>
    <t>madeleine.clark@gmail.com</t>
  </si>
  <si>
    <t>Jonathan</t>
  </si>
  <si>
    <t>Roberts</t>
  </si>
  <si>
    <t>jonathan.roberts@gmail.com</t>
  </si>
  <si>
    <t>Lauren</t>
  </si>
  <si>
    <t>lauren.rutherford@gmail.com</t>
  </si>
  <si>
    <t>Tracey</t>
  </si>
  <si>
    <t>tracey.mills@gmail.com</t>
  </si>
  <si>
    <t>Fraser</t>
  </si>
  <si>
    <t>jacob.fraser@gmail.com</t>
  </si>
  <si>
    <t>Edward</t>
  </si>
  <si>
    <t>Bailey</t>
  </si>
  <si>
    <t>edward.bailey@gmail.com</t>
  </si>
  <si>
    <t>Leonard</t>
  </si>
  <si>
    <t>Springer</t>
  </si>
  <si>
    <t>leonard.springer@gmail.com</t>
  </si>
  <si>
    <t>Dowd</t>
  </si>
  <si>
    <t>claire.dowd@gmail.com</t>
  </si>
  <si>
    <t>Anne</t>
  </si>
  <si>
    <t>Graham</t>
  </si>
  <si>
    <t>anne.graham@gmail.com</t>
  </si>
  <si>
    <t>Jennifer</t>
  </si>
  <si>
    <t>Kerr</t>
  </si>
  <si>
    <t>jennifer.kerr@gmail.com</t>
  </si>
  <si>
    <t>Lisa</t>
  </si>
  <si>
    <t>Scott</t>
  </si>
  <si>
    <t>lisa.scott@gmail.com</t>
  </si>
  <si>
    <t>Yvonne</t>
  </si>
  <si>
    <t>yvonne.dowd@gmail.com</t>
  </si>
  <si>
    <t>Alexandra</t>
  </si>
  <si>
    <t>Dickens</t>
  </si>
  <si>
    <t>alexandra.dickens@gmail.com</t>
  </si>
  <si>
    <t>Edmunds</t>
  </si>
  <si>
    <t>anne.edmunds@gmail.com</t>
  </si>
  <si>
    <t>Dan</t>
  </si>
  <si>
    <t>Paige</t>
  </si>
  <si>
    <t>dan.paige@gmail.com</t>
  </si>
  <si>
    <t>Richard</t>
  </si>
  <si>
    <t>richard.stewart@gmail.com</t>
  </si>
  <si>
    <t>Lily</t>
  </si>
  <si>
    <t>Ellison</t>
  </si>
  <si>
    <t>lily.ellison@gmail.com</t>
  </si>
  <si>
    <t>Victoria</t>
  </si>
  <si>
    <t>Cornish</t>
  </si>
  <si>
    <t>victoria.cornish@gmail.com</t>
  </si>
  <si>
    <t>John</t>
  </si>
  <si>
    <t>Harris</t>
  </si>
  <si>
    <t>john.harris@gmail.com</t>
  </si>
  <si>
    <t>Robert</t>
  </si>
  <si>
    <t>robert.graham@gmail.com</t>
  </si>
  <si>
    <t>Knox</t>
  </si>
  <si>
    <t>tracey.knox@gmail.com</t>
  </si>
  <si>
    <t>Rees</t>
  </si>
  <si>
    <t>jane.rees@gmail.com</t>
  </si>
  <si>
    <t>Liam</t>
  </si>
  <si>
    <t>Gibson</t>
  </si>
  <si>
    <t>liam.gibson@gmail.com</t>
  </si>
  <si>
    <t>Benjamin</t>
  </si>
  <si>
    <t>Forsyth</t>
  </si>
  <si>
    <t>benjamin.forsyth@gmail.com</t>
  </si>
  <si>
    <t>Amanda</t>
  </si>
  <si>
    <t>MacLeod</t>
  </si>
  <si>
    <t>amanda.macleod@gmail.com</t>
  </si>
  <si>
    <t>North</t>
  </si>
  <si>
    <t>jonathan.north@gmail.com</t>
  </si>
  <si>
    <t>Ian</t>
  </si>
  <si>
    <t>ian.knox@gmail.com</t>
  </si>
  <si>
    <t>Harry</t>
  </si>
  <si>
    <t>Hart</t>
  </si>
  <si>
    <t>harry.hart@gmail.com</t>
  </si>
  <si>
    <t>Russell</t>
  </si>
  <si>
    <t>carl.russell@gmail.com</t>
  </si>
  <si>
    <t>Connor</t>
  </si>
  <si>
    <t>Langdon</t>
  </si>
  <si>
    <t>connor.langdon@gmail.com</t>
  </si>
  <si>
    <t>Matt</t>
  </si>
  <si>
    <t>matt.macdonald@gmail.com</t>
  </si>
  <si>
    <t>stewart.fraser@gmail.com</t>
  </si>
  <si>
    <t>Joshua</t>
  </si>
  <si>
    <t>Mitchell</t>
  </si>
  <si>
    <t>joshua.mitchell@gmail.com</t>
  </si>
  <si>
    <t>Randall</t>
  </si>
  <si>
    <t>victoria.randall@gmail.com</t>
  </si>
  <si>
    <t>Victor</t>
  </si>
  <si>
    <t>Burgess</t>
  </si>
  <si>
    <t>victor.burgess@gmail.com</t>
  </si>
  <si>
    <t>Oliver</t>
  </si>
  <si>
    <t>Mackay</t>
  </si>
  <si>
    <t>oliver.mackay@gmail.com</t>
  </si>
  <si>
    <t>ryan.randall@gmail.com</t>
  </si>
  <si>
    <t>James</t>
  </si>
  <si>
    <t>james.dickens@gmail.com</t>
  </si>
  <si>
    <t>Mary</t>
  </si>
  <si>
    <t>Reid</t>
  </si>
  <si>
    <t>mary.reid@gmail.com</t>
  </si>
  <si>
    <t>Thomas</t>
  </si>
  <si>
    <t>Clarkson</t>
  </si>
  <si>
    <t>thomas.clarkson@gmail.com</t>
  </si>
  <si>
    <t>Samantha</t>
  </si>
  <si>
    <t>samantha.ince@gmail.com</t>
  </si>
  <si>
    <t>Nicholas</t>
  </si>
  <si>
    <t>nicholas.clark@gmail.com</t>
  </si>
  <si>
    <t>victoria.mills@gmail.com</t>
  </si>
  <si>
    <t>Joanne</t>
  </si>
  <si>
    <t>Black</t>
  </si>
  <si>
    <t>joanne.black@gmail.com</t>
  </si>
  <si>
    <t>Arnold</t>
  </si>
  <si>
    <t>deirdre.arnold@gmail.com</t>
  </si>
  <si>
    <t>Hemmings</t>
  </si>
  <si>
    <t>joe.hemmings@gmail.com</t>
  </si>
  <si>
    <t>Metcalfe</t>
  </si>
  <si>
    <t>leonard.metcalfe@gmail.com</t>
  </si>
  <si>
    <t>Chapman</t>
  </si>
  <si>
    <t>anne.chapman@gmail.com</t>
  </si>
  <si>
    <t>Piers</t>
  </si>
  <si>
    <t>Ross</t>
  </si>
  <si>
    <t>piers.ross@gmail.com</t>
  </si>
  <si>
    <t>Joan</t>
  </si>
  <si>
    <t>Short</t>
  </si>
  <si>
    <t>joan.short@gmail.com</t>
  </si>
  <si>
    <t>Wilson</t>
  </si>
  <si>
    <t>jonathan.wilson@gmail.com</t>
  </si>
  <si>
    <t>Isaac</t>
  </si>
  <si>
    <t>isaac.wright@gmail.com</t>
  </si>
  <si>
    <t>mary.arnold@gmail.com</t>
  </si>
  <si>
    <t>Max</t>
  </si>
  <si>
    <t>Gill</t>
  </si>
  <si>
    <t>max.gill@gmail.com</t>
  </si>
  <si>
    <t>Abraham</t>
  </si>
  <si>
    <t>piers.abraham@gmail.com</t>
  </si>
  <si>
    <t>Dylan</t>
  </si>
  <si>
    <t>dylan.reid@gmail.com</t>
  </si>
  <si>
    <t>Tim</t>
  </si>
  <si>
    <t>Bower</t>
  </si>
  <si>
    <t>tim.bower@gmail.com</t>
  </si>
  <si>
    <t>max.king@gmail.com</t>
  </si>
  <si>
    <t>Peake</t>
  </si>
  <si>
    <t>stewart.peake@gmail.com</t>
  </si>
  <si>
    <t>Olivia</t>
  </si>
  <si>
    <t>Gray</t>
  </si>
  <si>
    <t>olivia.gray@gmail.com</t>
  </si>
  <si>
    <t>Hudson</t>
  </si>
  <si>
    <t>olivia.hudson@gmail.com</t>
  </si>
  <si>
    <t>Rebecca</t>
  </si>
  <si>
    <t>Thomson</t>
  </si>
  <si>
    <t>rebecca.thomson@gmail.com</t>
  </si>
  <si>
    <t>dylan.cornish@gmail.com</t>
  </si>
  <si>
    <t>Kevin</t>
  </si>
  <si>
    <t>kevin.langdon@gmail.com</t>
  </si>
  <si>
    <t>Wendy</t>
  </si>
  <si>
    <t>Morgan</t>
  </si>
  <si>
    <t>wendy.morgan@gmail.com</t>
  </si>
  <si>
    <t>Young</t>
  </si>
  <si>
    <t>ryan.young@gmail.com</t>
  </si>
  <si>
    <t>tracey.abraham@gmail.com</t>
  </si>
  <si>
    <t>Sonia</t>
  </si>
  <si>
    <t>Pullman</t>
  </si>
  <si>
    <t>sonia.pullman@gmail.com</t>
  </si>
  <si>
    <t>Alan</t>
  </si>
  <si>
    <t>Hunter</t>
  </si>
  <si>
    <t>alan.hunter@gmail.com</t>
  </si>
  <si>
    <t>Keith</t>
  </si>
  <si>
    <t>Cameron</t>
  </si>
  <si>
    <t>keith.cameron@gmail.com</t>
  </si>
  <si>
    <t>Heather</t>
  </si>
  <si>
    <t>Slater</t>
  </si>
  <si>
    <t>heather.slater@gmail.com</t>
  </si>
  <si>
    <t>Warren</t>
  </si>
  <si>
    <t>warren.bower@gmail.com</t>
  </si>
  <si>
    <t>Avery</t>
  </si>
  <si>
    <t>carl.avery@gmail.com</t>
  </si>
  <si>
    <t>Diana</t>
  </si>
  <si>
    <t>diana.dowd@gmail.com</t>
  </si>
  <si>
    <t>deirdre.langdon@gmail.com</t>
  </si>
  <si>
    <t>Neil</t>
  </si>
  <si>
    <t>Campbell</t>
  </si>
  <si>
    <t>neil.campbell@gmail.com</t>
  </si>
  <si>
    <t>joe.metcalfe@gmail.com</t>
  </si>
  <si>
    <t>Dorothy</t>
  </si>
  <si>
    <t>dorothy.ince@gmail.com</t>
  </si>
  <si>
    <t>Chloe</t>
  </si>
  <si>
    <t>chloe.scott@gmail.com</t>
  </si>
  <si>
    <t>piers.hunter@gmail.com</t>
  </si>
  <si>
    <t>warren.blake@gmail.com</t>
  </si>
  <si>
    <t>Irene</t>
  </si>
  <si>
    <t>irene.bower@gmail.com</t>
  </si>
  <si>
    <t>carl.macdonald@gmail.com</t>
  </si>
  <si>
    <t>Emma</t>
  </si>
  <si>
    <t>emma.young@gmail.com</t>
  </si>
  <si>
    <t>thomas.cornish@gmail.com</t>
  </si>
  <si>
    <t>Abigail</t>
  </si>
  <si>
    <t>abigail.clark@gmail.com</t>
  </si>
  <si>
    <t>Amelia</t>
  </si>
  <si>
    <t>Lambert</t>
  </si>
  <si>
    <t>amelia.lambert@gmail.com</t>
  </si>
  <si>
    <t>anne.lee@gmail.com</t>
  </si>
  <si>
    <t>Taylor</t>
  </si>
  <si>
    <t>joan.taylor@gmail.com</t>
  </si>
  <si>
    <t>Johnston</t>
  </si>
  <si>
    <t>joshua.johnston@gmail.com</t>
  </si>
  <si>
    <t>Skinner</t>
  </si>
  <si>
    <t>alan.skinner@gmail.com</t>
  </si>
  <si>
    <t>Eric</t>
  </si>
  <si>
    <t>Wallace</t>
  </si>
  <si>
    <t>eric.wallace@gmail.com</t>
  </si>
  <si>
    <t>Justin</t>
  </si>
  <si>
    <t>Murray</t>
  </si>
  <si>
    <t>justin.murray@gmail.com</t>
  </si>
  <si>
    <t>heather.hudson@gmail.com</t>
  </si>
  <si>
    <t>Andrew</t>
  </si>
  <si>
    <t>andrew.ellison@gmail.com</t>
  </si>
  <si>
    <t>Howard</t>
  </si>
  <si>
    <t>isaac.howard@gmail.com</t>
  </si>
  <si>
    <t>Manning</t>
  </si>
  <si>
    <t>una.manning@gmail.com</t>
  </si>
  <si>
    <t>Duncan</t>
  </si>
  <si>
    <t>adam.duncan@gmail.com</t>
  </si>
  <si>
    <t>Ball</t>
  </si>
  <si>
    <t>lily.ball@gmail.com</t>
  </si>
  <si>
    <t>Gavin</t>
  </si>
  <si>
    <t>gavin.forsyth@gmail.com</t>
  </si>
  <si>
    <t>Julia</t>
  </si>
  <si>
    <t>Alsop</t>
  </si>
  <si>
    <t>julia.alsop@gmail.com</t>
  </si>
  <si>
    <t>abigail.arnold@gmail.com</t>
  </si>
  <si>
    <t>leonard.dickens@gmail.com</t>
  </si>
  <si>
    <t>wendy.langdon@gmail.com</t>
  </si>
  <si>
    <t>Ava</t>
  </si>
  <si>
    <t>McDonald</t>
  </si>
  <si>
    <t>ava.mcdonald@gmail.com</t>
  </si>
  <si>
    <t>steven.graham@gmail.com</t>
  </si>
  <si>
    <t>nicholas.arnold@gmail.com</t>
  </si>
  <si>
    <t>Nathan</t>
  </si>
  <si>
    <t>nathan.hemmings@gmail.com</t>
  </si>
  <si>
    <t>David</t>
  </si>
  <si>
    <t>Piper</t>
  </si>
  <si>
    <t>david.piper@gmail.com</t>
  </si>
  <si>
    <t>Sarah</t>
  </si>
  <si>
    <t>Morrison</t>
  </si>
  <si>
    <t>sarah.morrison@gmail.com</t>
  </si>
  <si>
    <t>Sally</t>
  </si>
  <si>
    <t>Lawrence</t>
  </si>
  <si>
    <t>sally.lawrence@gmail.com</t>
  </si>
  <si>
    <t>isaac.berry@gmail.com</t>
  </si>
  <si>
    <t>cameron.lawrence@gmail.com</t>
  </si>
  <si>
    <t>Peters</t>
  </si>
  <si>
    <t>justin.peters@gmail.com</t>
  </si>
  <si>
    <t>Lewis</t>
  </si>
  <si>
    <t>neil.lewis@gmail.com</t>
  </si>
  <si>
    <t>Michelle</t>
  </si>
  <si>
    <t>michelle.gibson@gmail.com</t>
  </si>
  <si>
    <t>Rampling</t>
  </si>
  <si>
    <t>claire.rampling@gmail.com</t>
  </si>
  <si>
    <t>Sean</t>
  </si>
  <si>
    <t>Nolan</t>
  </si>
  <si>
    <t>sean.nolan@gmail.com</t>
  </si>
  <si>
    <t>Powell</t>
  </si>
  <si>
    <t>anne.powell@gmail.com</t>
  </si>
  <si>
    <t>Bernadette</t>
  </si>
  <si>
    <t>bernadette.stewart@gmail.com</t>
  </si>
  <si>
    <t>Lucas</t>
  </si>
  <si>
    <t>Dyer</t>
  </si>
  <si>
    <t>lucas.dyer@gmail.com</t>
  </si>
  <si>
    <t>Trevor</t>
  </si>
  <si>
    <t>trevor.graham@gmail.com</t>
  </si>
  <si>
    <t>Vanessa</t>
  </si>
  <si>
    <t>vanessa.lawrence@gmail.com</t>
  </si>
  <si>
    <t>deirdre.duncan@gmail.com</t>
  </si>
  <si>
    <t>Brian</t>
  </si>
  <si>
    <t>Hill</t>
  </si>
  <si>
    <t>brian.hill@gmail.com</t>
  </si>
  <si>
    <t>Jessica</t>
  </si>
  <si>
    <t>jessica.cameron@gmail.com</t>
  </si>
  <si>
    <t>michelle.rees@gmail.com</t>
  </si>
  <si>
    <t>yvonne.kerr@gmail.com</t>
  </si>
  <si>
    <t>emma.piper@gmail.com</t>
  </si>
  <si>
    <t>eric.chapman@gmail.com</t>
  </si>
  <si>
    <t>david.stewart@gmail.com</t>
  </si>
  <si>
    <t>Faith</t>
  </si>
  <si>
    <t>faith.arnold@gmail.com</t>
  </si>
  <si>
    <t>Penelope</t>
  </si>
  <si>
    <t>penelope.lee@gmail.com</t>
  </si>
  <si>
    <t>Austin</t>
  </si>
  <si>
    <t>austin.cameron@gmail.com</t>
  </si>
  <si>
    <t>Virginia</t>
  </si>
  <si>
    <t>virginia.vance@gmail.com</t>
  </si>
  <si>
    <t>joe.rampling@gmail.com</t>
  </si>
  <si>
    <t>Grant</t>
  </si>
  <si>
    <t>nathan.grant@gmail.com</t>
  </si>
  <si>
    <t>Julian</t>
  </si>
  <si>
    <t>julian.campbell@gmail.com</t>
  </si>
  <si>
    <t>Lillian</t>
  </si>
  <si>
    <t>Sutherland</t>
  </si>
  <si>
    <t>lillian.sutherland@gmail.com</t>
  </si>
  <si>
    <t>Parsons</t>
  </si>
  <si>
    <t>justin.parsons@gmail.com</t>
  </si>
  <si>
    <t>alan.gibson@gmail.com</t>
  </si>
  <si>
    <t>jonathan.dickens@gmail.com</t>
  </si>
  <si>
    <t>Boris</t>
  </si>
  <si>
    <t>Newman</t>
  </si>
  <si>
    <t>boris.newman@gmail.com</t>
  </si>
  <si>
    <t>kevin.north@gmail.com</t>
  </si>
  <si>
    <t>dylan.graham@gmail.com</t>
  </si>
  <si>
    <t>Peter</t>
  </si>
  <si>
    <t>Hughes</t>
  </si>
  <si>
    <t>peter.hughes@gmail.com</t>
  </si>
  <si>
    <t>Emily</t>
  </si>
  <si>
    <t>emily.manning@gmail.com</t>
  </si>
  <si>
    <t>lauren.ross@gmail.com</t>
  </si>
  <si>
    <t>Zoe</t>
  </si>
  <si>
    <t>McGrath</t>
  </si>
  <si>
    <t>zoe.mcgrath@gmail.com</t>
  </si>
  <si>
    <t>jonathan.vance@gmail.com</t>
  </si>
  <si>
    <t>Underwood</t>
  </si>
  <si>
    <t>nathan.underwood@gmail.com</t>
  </si>
  <si>
    <t>Alison</t>
  </si>
  <si>
    <t>alison.ince@gmail.com</t>
  </si>
  <si>
    <t>Evan</t>
  </si>
  <si>
    <t>evan.knox@gmail.com</t>
  </si>
  <si>
    <t>Robertson</t>
  </si>
  <si>
    <t>rose.robertson@gmail.com</t>
  </si>
  <si>
    <t>Sam</t>
  </si>
  <si>
    <t>sam.cornish@gmail.com</t>
  </si>
  <si>
    <t>Brown</t>
  </si>
  <si>
    <t>keith.brown@gmail.com</t>
  </si>
  <si>
    <t>victor.kerr@gmail.com</t>
  </si>
  <si>
    <t>faith.howard@gmail.com</t>
  </si>
  <si>
    <t>Stephanie</t>
  </si>
  <si>
    <t>stephanie.slater@gmail.com</t>
  </si>
  <si>
    <t>Carr</t>
  </si>
  <si>
    <t>tracey.carr@gmail.com</t>
  </si>
  <si>
    <t>Carol</t>
  </si>
  <si>
    <t>carol.macdonald@gmail.com</t>
  </si>
  <si>
    <t>madeleine.macdonald@gmail.com</t>
  </si>
  <si>
    <t>Audrey</t>
  </si>
  <si>
    <t>audrey.arnold@gmail.com</t>
  </si>
  <si>
    <t>Stephen</t>
  </si>
  <si>
    <t>stephen.arnold@gmail.com</t>
  </si>
  <si>
    <t>Nash</t>
  </si>
  <si>
    <t>carl.nash@gmail.com</t>
  </si>
  <si>
    <t>Ogden</t>
  </si>
  <si>
    <t>bernadette.ogden@gmail.com</t>
  </si>
  <si>
    <t>carol.bower@gmail.com</t>
  </si>
  <si>
    <t>blake.ince@gmail.com</t>
  </si>
  <si>
    <t>ruth.mitchell@gmail.com</t>
  </si>
  <si>
    <t>alexandra.knox@gmail.com</t>
  </si>
  <si>
    <t>austin.mills@gmail.com</t>
  </si>
  <si>
    <t>irene.brown@gmail.com</t>
  </si>
  <si>
    <t>dan.bond@gmail.com</t>
  </si>
  <si>
    <t>Luke</t>
  </si>
  <si>
    <t>luke.ince@gmail.com</t>
  </si>
  <si>
    <t>stephanie.james@gmail.com</t>
  </si>
  <si>
    <t>Theresa</t>
  </si>
  <si>
    <t>theresa.mitchell@gmail.com</t>
  </si>
  <si>
    <t>faith.taylor@gmail.com</t>
  </si>
  <si>
    <t>Simon</t>
  </si>
  <si>
    <t>simon.skinner@gmail.com</t>
  </si>
  <si>
    <t>Karen</t>
  </si>
  <si>
    <t>karen.bond@gmail.com</t>
  </si>
  <si>
    <t>Bell</t>
  </si>
  <si>
    <t>john.bell@gmail.com</t>
  </si>
  <si>
    <t>diana.knox@gmail.com</t>
  </si>
  <si>
    <t>blake.hughes@gmail.com</t>
  </si>
  <si>
    <t>Butler</t>
  </si>
  <si>
    <t>julian.butler@gmail.com</t>
  </si>
  <si>
    <t>stewart.brown@gmail.com</t>
  </si>
  <si>
    <t>lisa.dyer@gmail.com</t>
  </si>
  <si>
    <t>lauren.paige@gmail.com</t>
  </si>
  <si>
    <t>lauren.slater@gmail.com</t>
  </si>
  <si>
    <t>nicholas.thomson@gmail.com</t>
  </si>
  <si>
    <t>McLean</t>
  </si>
  <si>
    <t>eric.mclean@gmail.com</t>
  </si>
  <si>
    <t>Fisher</t>
  </si>
  <si>
    <t>kevin.fisher@gmail.com</t>
  </si>
  <si>
    <t>Davidson</t>
  </si>
  <si>
    <t>trevor.davidson@gmail.com</t>
  </si>
  <si>
    <t>diana.grant@gmail.com</t>
  </si>
  <si>
    <t>William</t>
  </si>
  <si>
    <t>william.scott@gmail.com</t>
  </si>
  <si>
    <t>Bella</t>
  </si>
  <si>
    <t>bella.graham@gmail.com</t>
  </si>
  <si>
    <t>Colin</t>
  </si>
  <si>
    <t>Poole</t>
  </si>
  <si>
    <t>colin.poole@gmail.com</t>
  </si>
  <si>
    <t>dylan.hill@gmail.com</t>
  </si>
  <si>
    <t>robert.scott@gmail.com</t>
  </si>
  <si>
    <t>Quinn</t>
  </si>
  <si>
    <t>sarah.quinn@gmail.com</t>
  </si>
  <si>
    <t>tracey.north@gmail.com</t>
  </si>
  <si>
    <t>robert.black@gmail.com</t>
  </si>
  <si>
    <t>victor.berry@gmail.com</t>
  </si>
  <si>
    <t>Payne</t>
  </si>
  <si>
    <t>piers.payne@gmail.com</t>
  </si>
  <si>
    <t>leonard.clarkson@gmail.com</t>
  </si>
  <si>
    <t>Adrian</t>
  </si>
  <si>
    <t>adrian.hill@gmail.com</t>
  </si>
  <si>
    <t>isaac.carr@gmail.com</t>
  </si>
  <si>
    <t>theresa.abraham@gmail.com</t>
  </si>
  <si>
    <t>Grace</t>
  </si>
  <si>
    <t>grace.young@gmail.com</t>
  </si>
  <si>
    <t>lily.graham@gmail.com</t>
  </si>
  <si>
    <t>richard.hunter@gmail.com</t>
  </si>
  <si>
    <t>bella.chapman@gmail.com</t>
  </si>
  <si>
    <t>irene.cameron@gmail.com</t>
  </si>
  <si>
    <t>Gordon</t>
  </si>
  <si>
    <t>gordon.metcalfe@gmail.com</t>
  </si>
  <si>
    <t>Sharp</t>
  </si>
  <si>
    <t>ruth.sharp@gmail.com</t>
  </si>
  <si>
    <t>heather.harris@gmail.com</t>
  </si>
  <si>
    <t>Phil</t>
  </si>
  <si>
    <t>phil.wallace@gmail.com</t>
  </si>
  <si>
    <t>wendy.hamilton@gmail.com</t>
  </si>
  <si>
    <t>john.graham@gmail.com</t>
  </si>
  <si>
    <t>Simpson</t>
  </si>
  <si>
    <t>claire.simpson@gmail.com</t>
  </si>
  <si>
    <t>lauren.knox@gmail.com</t>
  </si>
  <si>
    <t>Watson</t>
  </si>
  <si>
    <t>abigail.watson@gmail.com</t>
  </si>
  <si>
    <t>Charles</t>
  </si>
  <si>
    <t>Walker</t>
  </si>
  <si>
    <t>charles.walker@gmail.com</t>
  </si>
  <si>
    <t>Andrea</t>
  </si>
  <si>
    <t>andrea.ogden@gmail.com</t>
  </si>
  <si>
    <t>faith.thomson@gmail.com</t>
  </si>
  <si>
    <t>Martin</t>
  </si>
  <si>
    <t>david.martin@gmail.com</t>
  </si>
  <si>
    <t>Frank</t>
  </si>
  <si>
    <t>frank.short@gmail.com</t>
  </si>
  <si>
    <t>Greene</t>
  </si>
  <si>
    <t>ruth.greene@gmail.com</t>
  </si>
  <si>
    <t>kevin.lee@gmail.com</t>
  </si>
  <si>
    <t>Davies</t>
  </si>
  <si>
    <t>evan.davies@gmail.com</t>
  </si>
  <si>
    <t>Turner</t>
  </si>
  <si>
    <t>sarah.turner@gmail.com</t>
  </si>
  <si>
    <t>chloe.arnold@gmail.com</t>
  </si>
  <si>
    <t>nicholas.lee@gmail.com</t>
  </si>
  <si>
    <t>dylan.springer@gmail.com</t>
  </si>
  <si>
    <t>Churchill</t>
  </si>
  <si>
    <t>heather.churchill@gmail.com</t>
  </si>
  <si>
    <t>amanda.avery@gmail.com</t>
  </si>
  <si>
    <t>anne.lewis@gmail.com</t>
  </si>
  <si>
    <t>stephen.gibson@gmail.com</t>
  </si>
  <si>
    <t>jasmine.young@gmail.com</t>
  </si>
  <si>
    <t>bernadette.cornish@gmail.com</t>
  </si>
  <si>
    <t>jessica.abraham@gmail.com</t>
  </si>
  <si>
    <t>phil.davies@gmail.com</t>
  </si>
  <si>
    <t>victor.abraham@gmail.com</t>
  </si>
  <si>
    <t>stewart.skinner@gmail.com</t>
  </si>
  <si>
    <t>jessica.dickens@gmail.com</t>
  </si>
  <si>
    <t>adrian.underwood@gmail.com</t>
  </si>
  <si>
    <t>samantha.robertson@gmail.com</t>
  </si>
  <si>
    <t>Sue</t>
  </si>
  <si>
    <t>Welch</t>
  </si>
  <si>
    <t>sue.welch@gmail.com</t>
  </si>
  <si>
    <t>Kimberly</t>
  </si>
  <si>
    <t>kimberly.wright@gmail.com</t>
  </si>
  <si>
    <t>Wilkins</t>
  </si>
  <si>
    <t>virginia.wilkins@gmail.com</t>
  </si>
  <si>
    <t>Coleman</t>
  </si>
  <si>
    <t>bella.coleman@gmail.com</t>
  </si>
  <si>
    <t>oliver.langdon@gmail.com</t>
  </si>
  <si>
    <t>Angela</t>
  </si>
  <si>
    <t>angela.greene@gmail.com</t>
  </si>
  <si>
    <t>carl.carr@gmail.com</t>
  </si>
  <si>
    <t>christopher.paige@gmail.com</t>
  </si>
  <si>
    <t>Smith</t>
  </si>
  <si>
    <t>ian.smith@gmail.com</t>
  </si>
  <si>
    <t>Paul</t>
  </si>
  <si>
    <t>paul.paige@gmail.com</t>
  </si>
  <si>
    <t>victoria.ogden@gmail.com</t>
  </si>
  <si>
    <t>dorothy.bell@gmail.com</t>
  </si>
  <si>
    <t>Leah</t>
  </si>
  <si>
    <t>leah.bailey@gmail.com</t>
  </si>
  <si>
    <t>Anthony</t>
  </si>
  <si>
    <t>anthony.walsh@gmail.com</t>
  </si>
  <si>
    <t>lauren.piper@gmail.com</t>
  </si>
  <si>
    <t>stewart.hunter@gmail.com</t>
  </si>
  <si>
    <t>Lyman</t>
  </si>
  <si>
    <t>emma.lyman@gmail.com</t>
  </si>
  <si>
    <t>eric.lambert@gmail.com</t>
  </si>
  <si>
    <t>Fiona</t>
  </si>
  <si>
    <t>fiona.davies@gmail.com</t>
  </si>
  <si>
    <t>james.burgess@gmail.com</t>
  </si>
  <si>
    <t>virginia.mcgrath@gmail.com</t>
  </si>
  <si>
    <t>madeleine.duncan@gmail.com</t>
  </si>
  <si>
    <t>leah.paige@gmail.com</t>
  </si>
  <si>
    <t>paul.macleod@gmail.com</t>
  </si>
  <si>
    <t>jonathan.sutherland@gmail.com</t>
  </si>
  <si>
    <t>kevin.murray@gmail.com</t>
  </si>
  <si>
    <t>Hannah</t>
  </si>
  <si>
    <t>hannah.payne@gmail.com</t>
  </si>
  <si>
    <t>jason.blake@gmail.com</t>
  </si>
  <si>
    <t>matt.walker@gmail.com</t>
  </si>
  <si>
    <t>ruth.gill@gmail.com</t>
  </si>
  <si>
    <t>thomas.fisher@gmail.com</t>
  </si>
  <si>
    <t>Diane</t>
  </si>
  <si>
    <t>diane.forsyth@gmail.com</t>
  </si>
  <si>
    <t>audrey.macleod@gmail.com</t>
  </si>
  <si>
    <t>edward.mills@gmail.com</t>
  </si>
  <si>
    <t>warren.dowd@gmail.com</t>
  </si>
  <si>
    <t>alan.vance@gmail.com</t>
  </si>
  <si>
    <t>Pippa</t>
  </si>
  <si>
    <t>pippa.wright@gmail.com</t>
  </si>
  <si>
    <t>carl.brown@gmail.com</t>
  </si>
  <si>
    <t>gordon.ross@gmail.com</t>
  </si>
  <si>
    <t>sarah.lee@gmail.com</t>
  </si>
  <si>
    <t>fiona.piper@gmail.com</t>
  </si>
  <si>
    <t>stephanie.thomson@gmail.com</t>
  </si>
  <si>
    <t>lisa.gibson@gmail.com</t>
  </si>
  <si>
    <t>Mathis</t>
  </si>
  <si>
    <t>virginia.mathis@gmail.com</t>
  </si>
  <si>
    <t>jason.simpson@gmail.com</t>
  </si>
  <si>
    <t>Maria</t>
  </si>
  <si>
    <t>maria.reid@gmail.com</t>
  </si>
  <si>
    <t>Kelly</t>
  </si>
  <si>
    <t>stephanie.kelly@gmail.com</t>
  </si>
  <si>
    <t>benjamin.graham@gmail.com</t>
  </si>
  <si>
    <t>Jake</t>
  </si>
  <si>
    <t>jake.dowd@gmail.com</t>
  </si>
  <si>
    <t>edward.parsons@gmail.com</t>
  </si>
  <si>
    <t>Alexander</t>
  </si>
  <si>
    <t>Buckland</t>
  </si>
  <si>
    <t>alexander.buckland@gmail.com</t>
  </si>
  <si>
    <t>rose.walker@gmail.com</t>
  </si>
  <si>
    <t>nicholas.parsons@gmail.com</t>
  </si>
  <si>
    <t>david.ince@gmail.com</t>
  </si>
  <si>
    <t>Ella</t>
  </si>
  <si>
    <t>ella.bell@gmail.com</t>
  </si>
  <si>
    <t>sue.metcalfe@gmail.com</t>
  </si>
  <si>
    <t>Marshall</t>
  </si>
  <si>
    <t>frank.marshall@gmail.com</t>
  </si>
  <si>
    <t>max.kerr@gmail.com</t>
  </si>
  <si>
    <t>maria.buckland@gmail.com</t>
  </si>
  <si>
    <t>karen.fisher@gmail.com</t>
  </si>
  <si>
    <t>ryan.ellison@gmail.com</t>
  </si>
  <si>
    <t>victoria.dowd@gmail.com</t>
  </si>
  <si>
    <t>Sebastian</t>
  </si>
  <si>
    <t>sebastian.king@gmail.com</t>
  </si>
  <si>
    <t>cameron.davidson@gmail.com</t>
  </si>
  <si>
    <t>carol.lambert@gmail.com</t>
  </si>
  <si>
    <t>joanne.lee@gmail.com</t>
  </si>
  <si>
    <t>richard.graham@gmail.com</t>
  </si>
  <si>
    <t>zoe.hunter@gmail.com</t>
  </si>
  <si>
    <t>ava.ellison@gmail.com</t>
  </si>
  <si>
    <t>rebecca.young@gmail.com</t>
  </si>
  <si>
    <t>madeleine.pullman@gmail.com</t>
  </si>
  <si>
    <t>kimberly.james@gmail.com</t>
  </si>
  <si>
    <t>ruth.martin@gmail.com</t>
  </si>
  <si>
    <t>grace.king@gmail.com</t>
  </si>
  <si>
    <t>leah.short@gmail.com</t>
  </si>
  <si>
    <t>Jones</t>
  </si>
  <si>
    <t>joan.jones@gmail.com</t>
  </si>
  <si>
    <t>Vaughan</t>
  </si>
  <si>
    <t>hannah.vaughan@gmail.com</t>
  </si>
  <si>
    <t>max.morrison@gmail.com</t>
  </si>
  <si>
    <t>White</t>
  </si>
  <si>
    <t>steven.white@gmail.com</t>
  </si>
  <si>
    <t>richard.macdonald@gmail.com</t>
  </si>
  <si>
    <t>Dominic</t>
  </si>
  <si>
    <t>dominic.mitchell@gmail.com</t>
  </si>
  <si>
    <t>Sanderson</t>
  </si>
  <si>
    <t>heather.sanderson@gmail.com</t>
  </si>
  <si>
    <t>Mackenzie</t>
  </si>
  <si>
    <t>alison.mackenzie@gmail.com</t>
  </si>
  <si>
    <t>boris.chapman@gmail.com</t>
  </si>
  <si>
    <t>Joseph</t>
  </si>
  <si>
    <t>joseph.manning@gmail.com</t>
  </si>
  <si>
    <t>Paterson</t>
  </si>
  <si>
    <t>lily.paterson@gmail.com</t>
  </si>
  <si>
    <t>bella.wilkins@gmail.com</t>
  </si>
  <si>
    <t>christopher.oliver@gmail.com</t>
  </si>
  <si>
    <t>gordon.gill@gmail.com</t>
  </si>
  <si>
    <t>ella.martin@gmail.com</t>
  </si>
  <si>
    <t>Kylie</t>
  </si>
  <si>
    <t>kylie.abraham@gmail.com</t>
  </si>
  <si>
    <t>charles.bell@gmail.com</t>
  </si>
  <si>
    <t>cameron.bailey@gmail.com</t>
  </si>
  <si>
    <t>stephanie.coleman@gmail.com</t>
  </si>
  <si>
    <t>Jack</t>
  </si>
  <si>
    <t>jack.ogden@gmail.com</t>
  </si>
  <si>
    <t>sam.wilson@gmail.com</t>
  </si>
  <si>
    <t>Sophie</t>
  </si>
  <si>
    <t>sophie.russell@gmail.com</t>
  </si>
  <si>
    <t>virginia.powell@gmail.com</t>
  </si>
  <si>
    <t>piers.sharp@gmail.com</t>
  </si>
  <si>
    <t>matt.stewart@gmail.com</t>
  </si>
  <si>
    <t>adrian.piper@gmail.com</t>
  </si>
  <si>
    <t>victor.davies@gmail.com</t>
  </si>
  <si>
    <t>sam.fisher@gmail.com</t>
  </si>
  <si>
    <t>Jan</t>
  </si>
  <si>
    <t>Tucker</t>
  </si>
  <si>
    <t>jan.tucker@gmail.com</t>
  </si>
  <si>
    <t>alexander.nash@gmail.com</t>
  </si>
  <si>
    <t>Henderson</t>
  </si>
  <si>
    <t>bella.henderson@gmail.com</t>
  </si>
  <si>
    <t>amanda.marshall@gmail.com</t>
  </si>
  <si>
    <t>joshua.wilson@gmail.com</t>
  </si>
  <si>
    <t>peter.scott@gmail.com</t>
  </si>
  <si>
    <t>carol.arnold@gmail.com</t>
  </si>
  <si>
    <t>lisa.macdonald@gmail.com</t>
  </si>
  <si>
    <t>dorothy.mclean@gmail.com</t>
  </si>
  <si>
    <t>dan.newman@gmail.com</t>
  </si>
  <si>
    <t>ian.mclean@gmail.com</t>
  </si>
  <si>
    <t>carl.slater@gmail.com</t>
  </si>
  <si>
    <t>hannah.scott@gmail.com</t>
  </si>
  <si>
    <t>deirdre.henderson@gmail.com</t>
  </si>
  <si>
    <t>luke.bailey@gmail.com</t>
  </si>
  <si>
    <t>william.glover@gmail.com</t>
  </si>
  <si>
    <t>Allan</t>
  </si>
  <si>
    <t>chloe.allan@gmail.com</t>
  </si>
  <si>
    <t>Ferguson</t>
  </si>
  <si>
    <t>robert.ferguson@gmail.com</t>
  </si>
  <si>
    <t>diane.ellison@gmail.com</t>
  </si>
  <si>
    <t>jasmine.mackay@gmail.com</t>
  </si>
  <si>
    <t>Carolyn</t>
  </si>
  <si>
    <t>carolyn.ince@gmail.com</t>
  </si>
  <si>
    <t>andrew.walker@gmail.com</t>
  </si>
  <si>
    <t>Katherine</t>
  </si>
  <si>
    <t>katherine.morgan@gmail.com</t>
  </si>
  <si>
    <t>william.macdonald@gmail.com</t>
  </si>
  <si>
    <t>keith.welch@gmail.com</t>
  </si>
  <si>
    <t>kylie.taylor@gmail.com</t>
  </si>
  <si>
    <t>tim.edmunds@gmail.com</t>
  </si>
  <si>
    <t>ryan.parsons@gmail.com</t>
  </si>
  <si>
    <t>carolyn.lewis@gmail.com</t>
  </si>
  <si>
    <t>warren.berry@gmail.com</t>
  </si>
  <si>
    <t>deirdre.harris@gmail.com</t>
  </si>
  <si>
    <t>sarah.dowd@gmail.com</t>
  </si>
  <si>
    <t>bernadette.buckland@gmail.com</t>
  </si>
  <si>
    <t>tim.hudson@gmail.com</t>
  </si>
  <si>
    <t>Natalie</t>
  </si>
  <si>
    <t>natalie.reid@gmail.com</t>
  </si>
  <si>
    <t>julia.watson@gmail.com</t>
  </si>
  <si>
    <t>hannah.burgess@gmail.com</t>
  </si>
  <si>
    <t>alan.johnston@gmail.com</t>
  </si>
  <si>
    <t>una.short@gmail.com</t>
  </si>
  <si>
    <t>jennifer.kelly@gmail.com</t>
  </si>
  <si>
    <t>May</t>
  </si>
  <si>
    <t>jack.may@gmail.com</t>
  </si>
  <si>
    <t>alexander.blake@gmail.com</t>
  </si>
  <si>
    <t>alexander.davidson@gmail.com</t>
  </si>
  <si>
    <t>blake.lambert@gmail.com</t>
  </si>
  <si>
    <t>sophie.burgess@gmail.com</t>
  </si>
  <si>
    <t>nathan.gibson@gmail.com</t>
  </si>
  <si>
    <t>virginia.glover@gmail.com</t>
  </si>
  <si>
    <t>Melanie</t>
  </si>
  <si>
    <t>melanie.grant@gmail.com</t>
  </si>
  <si>
    <t>ella.lewis@gmail.com</t>
  </si>
  <si>
    <t>Anna</t>
  </si>
  <si>
    <t>anna.reid@gmail.com</t>
  </si>
  <si>
    <t>ryan.burgess@gmail.com</t>
  </si>
  <si>
    <t>Megan</t>
  </si>
  <si>
    <t>megan.berry@gmail.com</t>
  </si>
  <si>
    <t>lauren.gray@gmail.com</t>
  </si>
  <si>
    <t>jennifer.gray@gmail.com</t>
  </si>
  <si>
    <t>andrew.glover@gmail.com</t>
  </si>
  <si>
    <t>Nicola</t>
  </si>
  <si>
    <t>nicola.may@gmail.com</t>
  </si>
  <si>
    <t>carolyn.gill@gmail.com</t>
  </si>
  <si>
    <t>virginia.wilson@gmail.com</t>
  </si>
  <si>
    <t>ella.grant@gmail.com</t>
  </si>
  <si>
    <t>michelle.buckland@gmail.com</t>
  </si>
  <si>
    <t>audrey.ogden@gmail.com</t>
  </si>
  <si>
    <t>vanessa.sharp@gmail.com</t>
  </si>
  <si>
    <t>simon.buckland@gmail.com</t>
  </si>
  <si>
    <t>sarah.welch@gmail.com</t>
  </si>
  <si>
    <t>Rachel</t>
  </si>
  <si>
    <t>rachel.stewart@gmail.com</t>
  </si>
  <si>
    <t>ella.oliver@gmail.com</t>
  </si>
  <si>
    <t>harry.vaughan@gmail.com</t>
  </si>
  <si>
    <t>james.oliver@gmail.com</t>
  </si>
  <si>
    <t>ava.langdon@gmail.com</t>
  </si>
  <si>
    <t>diane.randall@gmail.com</t>
  </si>
  <si>
    <t>richard.north@gmail.com</t>
  </si>
  <si>
    <t>Elizabeth</t>
  </si>
  <si>
    <t>elizabeth.roberts@gmail.com</t>
  </si>
  <si>
    <t>luke.langdon@gmail.com</t>
  </si>
  <si>
    <t>cameron.piper@gmail.com</t>
  </si>
  <si>
    <t>andrew.lawrence@gmail.com</t>
  </si>
  <si>
    <t>sebastian.paige@gmail.com</t>
  </si>
  <si>
    <t>nicola.harris@gmail.com</t>
  </si>
  <si>
    <t>tracey.mclean@gmail.com</t>
  </si>
  <si>
    <t>Gabrielle</t>
  </si>
  <si>
    <t>gabrielle.randall@gmail.com</t>
  </si>
  <si>
    <t>ava.buckland@gmail.com</t>
  </si>
  <si>
    <t>audrey.murray@gmail.com</t>
  </si>
  <si>
    <t>lucas.metcalfe@gmail.com</t>
  </si>
  <si>
    <t>jacob.rutherford@gmail.com</t>
  </si>
  <si>
    <t>emily.skinner@gmail.com</t>
  </si>
  <si>
    <t>heather.dyer@gmail.com</t>
  </si>
  <si>
    <t>Parr</t>
  </si>
  <si>
    <t>james.parr@gmail.com</t>
  </si>
  <si>
    <t>jennifer.ross@gmail.com</t>
  </si>
  <si>
    <t>austin.burgess@gmail.com</t>
  </si>
  <si>
    <t>Molly</t>
  </si>
  <si>
    <t>molly.bond@gmail.com</t>
  </si>
  <si>
    <t>grace.ferguson@gmail.com</t>
  </si>
  <si>
    <t>julian.sharp@gmail.com</t>
  </si>
  <si>
    <t>andrew.morgan@gmail.com</t>
  </si>
  <si>
    <t>sebastian.fraser@gmail.com</t>
  </si>
  <si>
    <t>matt.hunter@gmail.com</t>
  </si>
  <si>
    <t>claire.manning@gmail.com</t>
  </si>
  <si>
    <t>gavin.langdon@gmail.com</t>
  </si>
  <si>
    <t>zoe.smith@gmail.com</t>
  </si>
  <si>
    <t>Michael</t>
  </si>
  <si>
    <t>michael.henderson@gmail.com</t>
  </si>
  <si>
    <t>david.reid@gmail.com</t>
  </si>
  <si>
    <t>phil.blake@gmail.com</t>
  </si>
  <si>
    <t>Terry</t>
  </si>
  <si>
    <t>liam.terry@gmail.com</t>
  </si>
  <si>
    <t>joshua.bailey@gmail.com</t>
  </si>
  <si>
    <t>harry.king@gmail.com</t>
  </si>
  <si>
    <t>joe.dickens@gmail.com</t>
  </si>
  <si>
    <t>vanessa.murray@gmail.com</t>
  </si>
  <si>
    <t>leonard.knox@gmail.com</t>
  </si>
  <si>
    <t>boris.skinner@gmail.com</t>
  </si>
  <si>
    <t>brian.rampling@gmail.com</t>
  </si>
  <si>
    <t>angela.berry@gmail.com</t>
  </si>
  <si>
    <t>steven.dyer@gmail.com</t>
  </si>
  <si>
    <t>nicholas.brown@gmail.com</t>
  </si>
  <si>
    <t>lisa.ellison@gmail.com</t>
  </si>
  <si>
    <t>edward.may@gmail.com</t>
  </si>
  <si>
    <t>justin.newman@gmail.com</t>
  </si>
  <si>
    <t>harry.ball@gmail.com</t>
  </si>
  <si>
    <t>joseph.walsh@gmail.com</t>
  </si>
  <si>
    <t>faith.marshall@gmail.com</t>
  </si>
  <si>
    <t>grace.ross@gmail.com</t>
  </si>
  <si>
    <t>diana.macdonald@gmail.com</t>
  </si>
  <si>
    <t>alexander.randall@gmail.com</t>
  </si>
  <si>
    <t>evan.chapman@gmail.com</t>
  </si>
  <si>
    <t>abigail.hart@gmail.com</t>
  </si>
  <si>
    <t>ava.paige@gmail.com</t>
  </si>
  <si>
    <t>michael.edmunds@gmail.com</t>
  </si>
  <si>
    <t>neil.gibson@gmail.com</t>
  </si>
  <si>
    <t>grace.henderson@gmail.com</t>
  </si>
  <si>
    <t>gavin.peake@gmail.com</t>
  </si>
  <si>
    <t>rose.macleod@gmail.com</t>
  </si>
  <si>
    <t>irene.alsop@gmail.com</t>
  </si>
  <si>
    <t>elizabeth.wright@gmail.com</t>
  </si>
  <si>
    <t>nicola.paterson@gmail.com</t>
  </si>
  <si>
    <t>katherine.scott@gmail.com</t>
  </si>
  <si>
    <t>gordon.ince@gmail.com</t>
  </si>
  <si>
    <t>frank.young@gmail.com</t>
  </si>
  <si>
    <t>ian.morrison@gmail.com</t>
  </si>
  <si>
    <t>amanda.may@gmail.com</t>
  </si>
  <si>
    <t>luke.lawrence@gmail.com</t>
  </si>
  <si>
    <t>maria.hamilton@gmail.com</t>
  </si>
  <si>
    <t>blake.carr@gmail.com</t>
  </si>
  <si>
    <t>carol.brown@gmail.com</t>
  </si>
  <si>
    <t>karen.mackay@gmail.com</t>
  </si>
  <si>
    <t>james.mcgrath@gmail.com</t>
  </si>
  <si>
    <t>heather.gill@gmail.com</t>
  </si>
  <si>
    <t>stephen.james@gmail.com</t>
  </si>
  <si>
    <t>william.churchill@gmail.com</t>
  </si>
  <si>
    <t>stewart.wallace@gmail.com</t>
  </si>
  <si>
    <t>pippa.bell@gmail.com</t>
  </si>
  <si>
    <t>elizabeth.ince@gmail.com</t>
  </si>
  <si>
    <t>joanne.ferguson@gmail.com</t>
  </si>
  <si>
    <t>adrian.king@gmail.com</t>
  </si>
  <si>
    <t>william.edmunds@gmail.com</t>
  </si>
  <si>
    <t>dominic.hunter@gmail.com</t>
  </si>
  <si>
    <t>sally.bell@gmail.com</t>
  </si>
  <si>
    <t>katherine.nolan@gmail.com</t>
  </si>
  <si>
    <t>sean.morgan@gmail.com</t>
  </si>
  <si>
    <t>heather.dickens@gmail.com</t>
  </si>
  <si>
    <t>piers.ellison@gmail.com</t>
  </si>
  <si>
    <t>tim.macdonald@gmail.com</t>
  </si>
  <si>
    <t>victoria.hughes@gmail.com</t>
  </si>
  <si>
    <t>emily.metcalfe@gmail.com</t>
  </si>
  <si>
    <t>julian.morrison@gmail.com</t>
  </si>
  <si>
    <t>angela.mcdonald@gmail.com</t>
  </si>
  <si>
    <t>justin.davidson@gmail.com</t>
  </si>
  <si>
    <t>lisa.wilkins@gmail.com</t>
  </si>
  <si>
    <t>william.knox@gmail.com</t>
  </si>
  <si>
    <t>bernadette.fisher@gmail.com</t>
  </si>
  <si>
    <t>thomas.hart@gmail.com</t>
  </si>
  <si>
    <t>theresa.mackenzie@gmail.com</t>
  </si>
  <si>
    <t>karen.smith@gmail.com</t>
  </si>
  <si>
    <t>phil.lyman@gmail.com</t>
  </si>
  <si>
    <t>james.kerr@gmail.com</t>
  </si>
  <si>
    <t>zoe.dickens@gmail.com</t>
  </si>
  <si>
    <t>abigail.jones@gmail.com</t>
  </si>
  <si>
    <t>joe.mills@gmail.com</t>
  </si>
  <si>
    <t>gabrielle.cameron@gmail.com</t>
  </si>
  <si>
    <t>madeleine.lee@gmail.com</t>
  </si>
  <si>
    <t>andrew.davidson@gmail.com</t>
  </si>
  <si>
    <t>fiona.hart@gmail.com</t>
  </si>
  <si>
    <t>justin.cornish@gmail.com</t>
  </si>
  <si>
    <t>amelia.sutherland@gmail.com</t>
  </si>
  <si>
    <t>jennifer.robertson@gmail.com</t>
  </si>
  <si>
    <t>zoe.hart@gmail.com</t>
  </si>
  <si>
    <t>Owen</t>
  </si>
  <si>
    <t>owen.rees@gmail.com</t>
  </si>
  <si>
    <t>Baker</t>
  </si>
  <si>
    <t>dylan.baker@gmail.com</t>
  </si>
  <si>
    <t>yvonne.simpson@gmail.com</t>
  </si>
  <si>
    <t>mary.oliver@gmail.com</t>
  </si>
  <si>
    <t>owen.wilkins@gmail.com</t>
  </si>
  <si>
    <t>donna.abraham@gmail.com</t>
  </si>
  <si>
    <t>donna.peters@gmail.com</t>
  </si>
  <si>
    <t>matt.paige@gmail.com</t>
  </si>
  <si>
    <t>carolyn.parsons@gmail.com</t>
  </si>
  <si>
    <t>irene.mclean@gmail.com</t>
  </si>
  <si>
    <t>bernadette.hart@gmail.com</t>
  </si>
  <si>
    <t>andrea.chapman@gmail.com</t>
  </si>
  <si>
    <t>audrey.allan@gmail.com</t>
  </si>
  <si>
    <t>joan.russell@gmail.com</t>
  </si>
  <si>
    <t>charles.peters@gmail.com</t>
  </si>
  <si>
    <t>luke.anderson@gmail.com</t>
  </si>
  <si>
    <t>amelia.peake@gmail.com</t>
  </si>
  <si>
    <t>simon.walsh@gmail.com</t>
  </si>
  <si>
    <t>warren.carr@gmail.com</t>
  </si>
  <si>
    <t>sam.ince@gmail.com</t>
  </si>
  <si>
    <t>faith.poole@gmail.com</t>
  </si>
  <si>
    <t>wendy.tucker@gmail.com</t>
  </si>
  <si>
    <t>diana.gibson@gmail.com</t>
  </si>
  <si>
    <t>sean.clark@gmail.com</t>
  </si>
  <si>
    <t>tracey.mcdonald@gmail.com</t>
  </si>
  <si>
    <t>jan.randall@gmail.com</t>
  </si>
  <si>
    <t>Brandon</t>
  </si>
  <si>
    <t>brandon.underwood@gmail.com</t>
  </si>
  <si>
    <t>diane.mitchell@gmail.com</t>
  </si>
  <si>
    <t>alison.cornish@gmail.com</t>
  </si>
  <si>
    <t>keith.hughes@gmail.com</t>
  </si>
  <si>
    <t>evan.rees@gmail.com</t>
  </si>
  <si>
    <t>lillian.parr@gmail.com</t>
  </si>
  <si>
    <t>simon.morgan@gmail.com</t>
  </si>
  <si>
    <t>donna.lawrence@gmail.com</t>
  </si>
  <si>
    <t>eric.martin@gmail.com</t>
  </si>
  <si>
    <t>grace.hill@gmail.com</t>
  </si>
  <si>
    <t>lauren.davidson@gmail.com</t>
  </si>
  <si>
    <t>warren.mackenzie@gmail.com</t>
  </si>
  <si>
    <t>colin.jones@gmail.com</t>
  </si>
  <si>
    <t>christopher.gibson@gmail.com</t>
  </si>
  <si>
    <t>justin.clark@gmail.com</t>
  </si>
  <si>
    <t>boris.alsop@gmail.com</t>
  </si>
  <si>
    <t>sally.rampling@gmail.com</t>
  </si>
  <si>
    <t>christopher.mackenzie@gmail.com</t>
  </si>
  <si>
    <t>diana.langdon@gmail.com</t>
  </si>
  <si>
    <t>jonathan.anderson@gmail.com</t>
  </si>
  <si>
    <t>melanie.slater@gmail.com</t>
  </si>
  <si>
    <t>michael.rutherford@gmail.com</t>
  </si>
  <si>
    <t>sean.rampling@gmail.com</t>
  </si>
  <si>
    <t>deirdre.sharp@gmail.com</t>
  </si>
  <si>
    <t>oliver.hart@gmail.com</t>
  </si>
  <si>
    <t>alan.rutherford@gmail.com</t>
  </si>
  <si>
    <t>joanne.payne@gmail.com</t>
  </si>
  <si>
    <t>luke.vaughan@gmail.com</t>
  </si>
  <si>
    <t>wanda.kerr@gmail.com</t>
  </si>
  <si>
    <t>yvonne.rees@gmail.com</t>
  </si>
  <si>
    <t>frank.knox@gmail.com</t>
  </si>
  <si>
    <t>natalie.dyer@gmail.com</t>
  </si>
  <si>
    <t>gavin.graham@gmail.com</t>
  </si>
  <si>
    <t>alison.walker@gmail.com</t>
  </si>
  <si>
    <t>alexander.may@gmail.com</t>
  </si>
  <si>
    <t>claire.hudson@gmail.com</t>
  </si>
  <si>
    <t>alison.rees@gmail.com</t>
  </si>
  <si>
    <t>stephen.abraham@gmail.com</t>
  </si>
  <si>
    <t>bella.davidson@gmail.com</t>
  </si>
  <si>
    <t>anthony.watson@gmail.com</t>
  </si>
  <si>
    <t>adam.lawrence@gmail.com</t>
  </si>
  <si>
    <t>claire.edmunds@gmail.com</t>
  </si>
  <si>
    <t>max.ogden@gmail.com</t>
  </si>
  <si>
    <t>amelia.powell@gmail.com</t>
  </si>
  <si>
    <t>sean.parr@gmail.com</t>
  </si>
  <si>
    <t>harry.davidson@gmail.com</t>
  </si>
  <si>
    <t>sebastian.edmunds@gmail.com</t>
  </si>
  <si>
    <t>sebastian.rees@gmail.com</t>
  </si>
  <si>
    <t>sarah.simpson@gmail.com</t>
  </si>
  <si>
    <t>Amy</t>
  </si>
  <si>
    <t>amy.rutherford@gmail.com</t>
  </si>
  <si>
    <t>liam.bailey@gmail.com</t>
  </si>
  <si>
    <t>blake.skinner@gmail.com</t>
  </si>
  <si>
    <t>julian.wright@gmail.com</t>
  </si>
  <si>
    <t>vanessa.oliver@gmail.com</t>
  </si>
  <si>
    <t>ryan.simpson@gmail.com</t>
  </si>
  <si>
    <t>owen.welch@gmail.com</t>
  </si>
  <si>
    <t>benjamin.paige@gmail.com</t>
  </si>
  <si>
    <t>dan.carr@gmail.com</t>
  </si>
  <si>
    <t>joanne.alsop@gmail.com</t>
  </si>
  <si>
    <t>tracey.ball@gmail.com</t>
  </si>
  <si>
    <t>liam.baker@gmail.com</t>
  </si>
  <si>
    <t>stephanie.russell@gmail.com</t>
  </si>
  <si>
    <t>matt.wilkins@gmail.com</t>
  </si>
  <si>
    <t>wanda.white@gmail.com</t>
  </si>
  <si>
    <t>Jackson</t>
  </si>
  <si>
    <t>trevor.jackson@gmail.com</t>
  </si>
  <si>
    <t>faith.tucker@gmail.com</t>
  </si>
  <si>
    <t>Miller</t>
  </si>
  <si>
    <t>ruth.miller@gmail.com</t>
  </si>
  <si>
    <t>ryan.poole@gmail.com</t>
  </si>
  <si>
    <t>phil.rees@gmail.com</t>
  </si>
  <si>
    <t>fiona.hudson@gmail.com</t>
  </si>
  <si>
    <t>julian.bell@gmail.com</t>
  </si>
  <si>
    <t>john.watson@gmail.com</t>
  </si>
  <si>
    <t>mary.scott@gmail.com</t>
  </si>
  <si>
    <t>jasmine.springer@gmail.com</t>
  </si>
  <si>
    <t>isaac.welch@gmail.com</t>
  </si>
  <si>
    <t>sally.peters@gmail.com</t>
  </si>
  <si>
    <t>lillian.burgess@gmail.com</t>
  </si>
  <si>
    <t>sue.black@gmail.com</t>
  </si>
  <si>
    <t>thomas.lewis@gmail.com</t>
  </si>
  <si>
    <t>Hodges</t>
  </si>
  <si>
    <t>joshua.hodges@gmail.com</t>
  </si>
  <si>
    <t>sam.lyman@gmail.com</t>
  </si>
  <si>
    <t>sally.knox@gmail.com</t>
  </si>
  <si>
    <t>anthony.baker@gmail.com</t>
  </si>
  <si>
    <t>max.underwood@gmail.com</t>
  </si>
  <si>
    <t>robert.payne@gmail.com</t>
  </si>
  <si>
    <t>penelope.welch@gmail.com</t>
  </si>
  <si>
    <t>sally.ball@gmail.com</t>
  </si>
  <si>
    <t>virginia.jackson@gmail.com</t>
  </si>
  <si>
    <t>emily.hill@gmail.com</t>
  </si>
  <si>
    <t>carolyn.ferguson@gmail.com</t>
  </si>
  <si>
    <t>trevor.welch@gmail.com</t>
  </si>
  <si>
    <t>neil.powell@gmail.com</t>
  </si>
  <si>
    <t>adrian.carr@gmail.com</t>
  </si>
  <si>
    <t>leonard.wilkins@gmail.com</t>
  </si>
  <si>
    <t>Felicity</t>
  </si>
  <si>
    <t>felicity.mcdonald@gmail.com</t>
  </si>
  <si>
    <t>ryan.mathis@gmail.com</t>
  </si>
  <si>
    <t>donna.clarkson@gmail.com</t>
  </si>
  <si>
    <t>joe.knox@gmail.com</t>
  </si>
  <si>
    <t>blake.manning@gmail.com</t>
  </si>
  <si>
    <t>bernadette.mcgrath@gmail.com</t>
  </si>
  <si>
    <t>william.paterson@gmail.com</t>
  </si>
  <si>
    <t>una.lawrence@gmail.com</t>
  </si>
  <si>
    <t>gavin.dyer@gmail.com</t>
  </si>
  <si>
    <t>wanda.arnold@gmail.com</t>
  </si>
  <si>
    <t>william.abraham@gmail.com</t>
  </si>
  <si>
    <t>audrey.jones@gmail.com</t>
  </si>
  <si>
    <t>trevor.randall@gmail.com</t>
  </si>
  <si>
    <t>owen.hughes@gmail.com</t>
  </si>
  <si>
    <t>gavin.newman@gmail.com</t>
  </si>
  <si>
    <t>joan.parr@gmail.com</t>
  </si>
  <si>
    <t>peter.ellison@gmail.com</t>
  </si>
  <si>
    <t>emma.henderson@gmail.com</t>
  </si>
  <si>
    <t>diane.rees@gmail.com</t>
  </si>
  <si>
    <t>maria.churchill@gmail.com</t>
  </si>
  <si>
    <t>sonia.howard@gmail.com</t>
  </si>
  <si>
    <t>anna.brown@gmail.com</t>
  </si>
  <si>
    <t>una.sutherland@gmail.com</t>
  </si>
  <si>
    <t>victoria.duncan@gmail.com</t>
  </si>
  <si>
    <t>carl.ellison@gmail.com</t>
  </si>
  <si>
    <t>madeleine.robertson@gmail.com</t>
  </si>
  <si>
    <t>sam.payne@gmail.com</t>
  </si>
  <si>
    <t>audrey.reid@gmail.com</t>
  </si>
  <si>
    <t>jennifer.greene@gmail.com</t>
  </si>
  <si>
    <t>gavin.dickens@gmail.com</t>
  </si>
  <si>
    <t>eric.hill@gmail.com</t>
  </si>
  <si>
    <t>connor.morgan@gmail.com</t>
  </si>
  <si>
    <t>Email ID</t>
  </si>
  <si>
    <t>State</t>
  </si>
  <si>
    <t>bihar</t>
  </si>
  <si>
    <t>puducherry</t>
  </si>
  <si>
    <t>gujarat</t>
  </si>
  <si>
    <t>delhi</t>
  </si>
  <si>
    <t>Postal Code</t>
  </si>
  <si>
    <t>81 31 08</t>
  </si>
  <si>
    <t>60 50 01</t>
  </si>
  <si>
    <t>38 84 21</t>
  </si>
  <si>
    <t>11 00 07</t>
  </si>
  <si>
    <t>Order Date</t>
  </si>
  <si>
    <t>Unit Sold</t>
  </si>
  <si>
    <t>Sale Price</t>
  </si>
  <si>
    <t>Product Name</t>
  </si>
  <si>
    <t>Dell Inspiron 15</t>
  </si>
  <si>
    <t>Lenovo IdeaPad Slim 3i</t>
  </si>
  <si>
    <t>Mi NoteBook Ultra</t>
  </si>
  <si>
    <t>Samsung Galaxy Go</t>
  </si>
  <si>
    <t>Acer Aspire 3</t>
  </si>
  <si>
    <t>Order ID</t>
  </si>
  <si>
    <t>Status</t>
  </si>
  <si>
    <t>Shipped</t>
  </si>
  <si>
    <t>Ship Date</t>
  </si>
  <si>
    <t xml:space="preserve">India </t>
  </si>
  <si>
    <t xml:space="preserve"> East</t>
  </si>
  <si>
    <t xml:space="preserve"> South</t>
  </si>
  <si>
    <t xml:space="preserve"> West</t>
  </si>
  <si>
    <t xml:space="preserve"> North</t>
  </si>
  <si>
    <t>Country</t>
  </si>
  <si>
    <t>Region</t>
  </si>
  <si>
    <t>Row Labels</t>
  </si>
  <si>
    <t>Grand Total</t>
  </si>
  <si>
    <t>Sum of Unit Sold</t>
  </si>
  <si>
    <t>Feb</t>
  </si>
  <si>
    <t>Mar</t>
  </si>
  <si>
    <t>Apr</t>
  </si>
  <si>
    <t>Jun</t>
  </si>
  <si>
    <t>Count of Customer ID</t>
  </si>
  <si>
    <t>Average of Sale Price</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</si>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</sst>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s.&quot;#,##0"/>
    <numFmt numFmtId="165" formatCode="_ [$₹-4009]\ * #,##0_ ;_ [$₹-4009]\ * \-#,##0_ ;_ [$₹-4009]\ * &quot;-&quot;??_ ;_ @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applyAlignment="1">
      <alignment horizontal="left"/>
    </xf>
    <xf numFmtId="2" fontId="0" fillId="0" borderId="0" xfId="0" applyNumberFormat="1"/>
    <xf numFmtId="1" fontId="0" fillId="0" borderId="0" xfId="0" applyNumberFormat="1"/>
    <xf numFmtId="49" fontId="0" fillId="0" borderId="0" xfId="0" applyNumberFormat="1"/>
    <xf numFmtId="2" fontId="0" fillId="0" borderId="0" xfId="0" applyNumberFormat="1" applyAlignment="1">
      <alignment horizontal="left"/>
    </xf>
    <xf numFmtId="164" fontId="0" fillId="0" borderId="0" xfId="0" applyNumberFormat="1"/>
    <xf numFmtId="0" fontId="0" fillId="0" borderId="0" xfId="0" pivotButton="1"/>
    <xf numFmtId="165" fontId="0" fillId="0" borderId="0" xfId="0" applyNumberFormat="1"/>
  </cellXfs>
  <cellStyles count="1">
    <cellStyle name="Normal" xfId="0" builtinId="0"/>
  </cellStyles>
  <dxfs count="15">
    <dxf>
      <numFmt numFmtId="30" formatCode="@"/>
    </dxf>
    <dxf>
      <numFmt numFmtId="164" formatCode="&quot;Rs.&quot;#,##0"/>
    </dxf>
    <dxf>
      <numFmt numFmtId="1" formatCode="0"/>
    </dxf>
    <dxf>
      <numFmt numFmtId="19" formatCode="dd/mm/yyyy"/>
    </dxf>
    <dxf>
      <numFmt numFmtId="19" formatCode="dd/mm/yyyy"/>
    </dxf>
    <dxf>
      <numFmt numFmtId="1" formatCode="0"/>
    </dxf>
    <dxf>
      <numFmt numFmtId="30" formatCode="@"/>
    </dxf>
    <dxf>
      <numFmt numFmtId="30" formatCode="@"/>
    </dxf>
    <dxf>
      <numFmt numFmtId="2" formatCode="0.00"/>
    </dxf>
    <dxf>
      <numFmt numFmtId="30" formatCode="@"/>
    </dxf>
    <dxf>
      <numFmt numFmtId="30" formatCode="@"/>
    </dxf>
    <dxf>
      <numFmt numFmtId="30" formatCode="@"/>
    </dxf>
    <dxf>
      <numFmt numFmtId="30" formatCode="@"/>
    </dxf>
    <dxf>
      <numFmt numFmtId="30" formatCode="@"/>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Dashboard(1)-Sales data-2020.xlsx]Sheet1!PivotTable2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Sales</a:t>
            </a:r>
            <a:endParaRPr lang="en-US"/>
          </a:p>
        </c:rich>
      </c:tx>
      <c:layout>
        <c:manualLayout>
          <c:xMode val="edge"/>
          <c:yMode val="edge"/>
          <c:x val="0.4563888888888889"/>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 East</c:v>
                </c:pt>
                <c:pt idx="1">
                  <c:v> North</c:v>
                </c:pt>
                <c:pt idx="2">
                  <c:v> South</c:v>
                </c:pt>
                <c:pt idx="3">
                  <c:v> West</c:v>
                </c:pt>
              </c:strCache>
            </c:strRef>
          </c:cat>
          <c:val>
            <c:numRef>
              <c:f>Sheet1!$B$4:$B$8</c:f>
              <c:numCache>
                <c:formatCode>General</c:formatCode>
                <c:ptCount val="4"/>
                <c:pt idx="0">
                  <c:v>1164</c:v>
                </c:pt>
                <c:pt idx="1">
                  <c:v>738</c:v>
                </c:pt>
                <c:pt idx="2">
                  <c:v>545</c:v>
                </c:pt>
                <c:pt idx="3">
                  <c:v>1315</c:v>
                </c:pt>
              </c:numCache>
            </c:numRef>
          </c:val>
          <c:extLst>
            <c:ext xmlns:c16="http://schemas.microsoft.com/office/drawing/2014/chart" uri="{C3380CC4-5D6E-409C-BE32-E72D297353CC}">
              <c16:uniqueId val="{00000000-9B81-48F2-AF1E-80E24A4CFA36}"/>
            </c:ext>
          </c:extLst>
        </c:ser>
        <c:dLbls>
          <c:showLegendKey val="0"/>
          <c:showVal val="0"/>
          <c:showCatName val="0"/>
          <c:showSerName val="0"/>
          <c:showPercent val="0"/>
          <c:showBubbleSize val="0"/>
        </c:dLbls>
        <c:gapWidth val="182"/>
        <c:axId val="449031232"/>
        <c:axId val="449032896"/>
      </c:barChart>
      <c:catAx>
        <c:axId val="44903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032896"/>
        <c:crosses val="autoZero"/>
        <c:auto val="1"/>
        <c:lblAlgn val="ctr"/>
        <c:lblOffset val="100"/>
        <c:noMultiLvlLbl val="0"/>
      </c:catAx>
      <c:valAx>
        <c:axId val="449032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03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Dashboard(1)-Sales data-2020.xlsx]Sheet2!PivotTable3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Sheet2!$A$4:$A$10</c:f>
              <c:strCache>
                <c:ptCount val="6"/>
                <c:pt idx="0">
                  <c:v>Jan</c:v>
                </c:pt>
                <c:pt idx="1">
                  <c:v>Feb</c:v>
                </c:pt>
                <c:pt idx="2">
                  <c:v>Mar</c:v>
                </c:pt>
                <c:pt idx="3">
                  <c:v>Apr</c:v>
                </c:pt>
                <c:pt idx="4">
                  <c:v>May</c:v>
                </c:pt>
                <c:pt idx="5">
                  <c:v>Jun</c:v>
                </c:pt>
              </c:strCache>
            </c:strRef>
          </c:cat>
          <c:val>
            <c:numRef>
              <c:f>Sheet2!$B$4:$B$10</c:f>
              <c:numCache>
                <c:formatCode>General</c:formatCode>
                <c:ptCount val="6"/>
                <c:pt idx="0">
                  <c:v>842</c:v>
                </c:pt>
                <c:pt idx="1">
                  <c:v>379</c:v>
                </c:pt>
                <c:pt idx="2">
                  <c:v>544</c:v>
                </c:pt>
                <c:pt idx="3">
                  <c:v>642</c:v>
                </c:pt>
                <c:pt idx="4">
                  <c:v>869</c:v>
                </c:pt>
                <c:pt idx="5">
                  <c:v>486</c:v>
                </c:pt>
              </c:numCache>
            </c:numRef>
          </c:val>
          <c:smooth val="0"/>
          <c:extLst>
            <c:ext xmlns:c16="http://schemas.microsoft.com/office/drawing/2014/chart" uri="{C3380CC4-5D6E-409C-BE32-E72D297353CC}">
              <c16:uniqueId val="{00000000-E05D-4B47-AB95-AFB6F921018D}"/>
            </c:ext>
          </c:extLst>
        </c:ser>
        <c:dLbls>
          <c:showLegendKey val="0"/>
          <c:showVal val="0"/>
          <c:showCatName val="0"/>
          <c:showSerName val="0"/>
          <c:showPercent val="0"/>
          <c:showBubbleSize val="0"/>
        </c:dLbls>
        <c:marker val="1"/>
        <c:smooth val="0"/>
        <c:axId val="444511840"/>
        <c:axId val="444512256"/>
      </c:lineChart>
      <c:catAx>
        <c:axId val="44451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512256"/>
        <c:crosses val="autoZero"/>
        <c:auto val="1"/>
        <c:lblAlgn val="ctr"/>
        <c:lblOffset val="100"/>
        <c:noMultiLvlLbl val="0"/>
      </c:catAx>
      <c:valAx>
        <c:axId val="44451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51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Dashboard(1)-Sales data-2020.xlsx]Sheet3!PivotTable4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State</a:t>
            </a:r>
            <a:endParaRPr lang="en-US"/>
          </a:p>
        </c:rich>
      </c:tx>
      <c:layout>
        <c:manualLayout>
          <c:xMode val="edge"/>
          <c:yMode val="edge"/>
          <c:x val="0.3661596675415572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strRef>
              <c:f>Sheet3!$A$4:$A$8</c:f>
              <c:strCache>
                <c:ptCount val="4"/>
                <c:pt idx="0">
                  <c:v>bihar</c:v>
                </c:pt>
                <c:pt idx="1">
                  <c:v>delhi</c:v>
                </c:pt>
                <c:pt idx="2">
                  <c:v>gujarat</c:v>
                </c:pt>
                <c:pt idx="3">
                  <c:v>puducherry</c:v>
                </c:pt>
              </c:strCache>
            </c:strRef>
          </c:cat>
          <c:val>
            <c:numRef>
              <c:f>Sheet3!$B$4:$B$8</c:f>
              <c:numCache>
                <c:formatCode>General</c:formatCode>
                <c:ptCount val="4"/>
                <c:pt idx="0">
                  <c:v>215</c:v>
                </c:pt>
                <c:pt idx="1">
                  <c:v>131</c:v>
                </c:pt>
                <c:pt idx="2">
                  <c:v>255</c:v>
                </c:pt>
                <c:pt idx="3">
                  <c:v>99</c:v>
                </c:pt>
              </c:numCache>
            </c:numRef>
          </c:val>
          <c:extLst>
            <c:ext xmlns:c16="http://schemas.microsoft.com/office/drawing/2014/chart" uri="{C3380CC4-5D6E-409C-BE32-E72D297353CC}">
              <c16:uniqueId val="{00000000-2FE1-49E6-874D-E6373506AD55}"/>
            </c:ext>
          </c:extLst>
        </c:ser>
        <c:dLbls>
          <c:showLegendKey val="0"/>
          <c:showVal val="0"/>
          <c:showCatName val="0"/>
          <c:showSerName val="0"/>
          <c:showPercent val="0"/>
          <c:showBubbleSize val="0"/>
        </c:dLbls>
        <c:gapWidth val="150"/>
        <c:shape val="box"/>
        <c:axId val="573153472"/>
        <c:axId val="573153056"/>
        <c:axId val="0"/>
      </c:bar3DChart>
      <c:catAx>
        <c:axId val="573153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153056"/>
        <c:crosses val="autoZero"/>
        <c:auto val="1"/>
        <c:lblAlgn val="ctr"/>
        <c:lblOffset val="100"/>
        <c:noMultiLvlLbl val="0"/>
      </c:catAx>
      <c:valAx>
        <c:axId val="57315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15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Dashboard(1)-Sales data-2020.xlsx]Sheet4!PivotTable5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Volume Share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ED-4F66-9C74-ACF0C4605E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ED-4F66-9C74-ACF0C4605E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ED-4F66-9C74-ACF0C4605E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ED-4F66-9C74-ACF0C4605ED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ED-4F66-9C74-ACF0C4605E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Sheet4!$A$4:$A$9</c:f>
              <c:strCache>
                <c:ptCount val="5"/>
                <c:pt idx="0">
                  <c:v>Acer Aspire 3</c:v>
                </c:pt>
                <c:pt idx="1">
                  <c:v>Dell Inspiron 15</c:v>
                </c:pt>
                <c:pt idx="2">
                  <c:v>Lenovo IdeaPad Slim 3i</c:v>
                </c:pt>
                <c:pt idx="3">
                  <c:v>Mi NoteBook Ultra</c:v>
                </c:pt>
                <c:pt idx="4">
                  <c:v>Samsung Galaxy Go</c:v>
                </c:pt>
              </c:strCache>
            </c:strRef>
          </c:cat>
          <c:val>
            <c:numRef>
              <c:f>Sheet4!$B$4:$B$9</c:f>
              <c:numCache>
                <c:formatCode>General</c:formatCode>
                <c:ptCount val="5"/>
                <c:pt idx="0">
                  <c:v>932</c:v>
                </c:pt>
                <c:pt idx="1">
                  <c:v>1078</c:v>
                </c:pt>
                <c:pt idx="2">
                  <c:v>435</c:v>
                </c:pt>
                <c:pt idx="3">
                  <c:v>734</c:v>
                </c:pt>
                <c:pt idx="4">
                  <c:v>583</c:v>
                </c:pt>
              </c:numCache>
            </c:numRef>
          </c:val>
          <c:extLst>
            <c:ext xmlns:c16="http://schemas.microsoft.com/office/drawing/2014/chart" uri="{C3380CC4-5D6E-409C-BE32-E72D297353CC}">
              <c16:uniqueId val="{00000003-8498-416C-9CDB-DA300BA1638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Dashboard(1)-Sales data-2020.xlsx]Sheet5!PivotTable6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Sheet5!$A$4:$A$9</c:f>
              <c:strCache>
                <c:ptCount val="5"/>
                <c:pt idx="0">
                  <c:v>Acer Aspire 3</c:v>
                </c:pt>
                <c:pt idx="1">
                  <c:v>Dell Inspiron 15</c:v>
                </c:pt>
                <c:pt idx="2">
                  <c:v>Lenovo IdeaPad Slim 3i</c:v>
                </c:pt>
                <c:pt idx="3">
                  <c:v>Mi NoteBook Ultra</c:v>
                </c:pt>
                <c:pt idx="4">
                  <c:v>Samsung Galaxy Go</c:v>
                </c:pt>
              </c:strCache>
            </c:strRef>
          </c:cat>
          <c:val>
            <c:numRef>
              <c:f>Sheet5!$B$4:$B$9</c:f>
              <c:numCache>
                <c:formatCode>General</c:formatCode>
                <c:ptCount val="5"/>
                <c:pt idx="0">
                  <c:v>932</c:v>
                </c:pt>
                <c:pt idx="1">
                  <c:v>1078</c:v>
                </c:pt>
                <c:pt idx="2">
                  <c:v>435</c:v>
                </c:pt>
                <c:pt idx="3">
                  <c:v>734</c:v>
                </c:pt>
                <c:pt idx="4">
                  <c:v>583</c:v>
                </c:pt>
              </c:numCache>
            </c:numRef>
          </c:val>
          <c:extLst>
            <c:ext xmlns:c16="http://schemas.microsoft.com/office/drawing/2014/chart" uri="{C3380CC4-5D6E-409C-BE32-E72D297353CC}">
              <c16:uniqueId val="{00000000-C47E-444C-A55D-2F5A0E437E8F}"/>
            </c:ext>
          </c:extLst>
        </c:ser>
        <c:dLbls>
          <c:showLegendKey val="0"/>
          <c:showVal val="0"/>
          <c:showCatName val="0"/>
          <c:showSerName val="0"/>
          <c:showPercent val="0"/>
          <c:showBubbleSize val="0"/>
        </c:dLbls>
        <c:gapWidth val="219"/>
        <c:overlap val="-27"/>
        <c:axId val="442490896"/>
        <c:axId val="442485072"/>
      </c:barChart>
      <c:catAx>
        <c:axId val="44249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85072"/>
        <c:crosses val="autoZero"/>
        <c:auto val="1"/>
        <c:lblAlgn val="ctr"/>
        <c:lblOffset val="100"/>
        <c:noMultiLvlLbl val="0"/>
      </c:catAx>
      <c:valAx>
        <c:axId val="44248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9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Dashboard(1)-Sales data-2020.xlsx]Sheet6!PivotTable7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vs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Sheet6!$C$3</c:f>
              <c:strCache>
                <c:ptCount val="1"/>
                <c:pt idx="0">
                  <c:v>Average of Sale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Acer Aspire 3</c:v>
                </c:pt>
                <c:pt idx="1">
                  <c:v>Dell Inspiron 15</c:v>
                </c:pt>
                <c:pt idx="2">
                  <c:v>Lenovo IdeaPad Slim 3i</c:v>
                </c:pt>
                <c:pt idx="3">
                  <c:v>Mi NoteBook Ultra</c:v>
                </c:pt>
                <c:pt idx="4">
                  <c:v>Samsung Galaxy Go</c:v>
                </c:pt>
              </c:strCache>
            </c:strRef>
          </c:cat>
          <c:val>
            <c:numRef>
              <c:f>Sheet6!$C$4:$C$9</c:f>
              <c:numCache>
                <c:formatCode>General</c:formatCode>
                <c:ptCount val="5"/>
                <c:pt idx="0">
                  <c:v>38980</c:v>
                </c:pt>
                <c:pt idx="1">
                  <c:v>66989</c:v>
                </c:pt>
                <c:pt idx="2">
                  <c:v>34690</c:v>
                </c:pt>
                <c:pt idx="3">
                  <c:v>57999</c:v>
                </c:pt>
                <c:pt idx="4">
                  <c:v>36990</c:v>
                </c:pt>
              </c:numCache>
            </c:numRef>
          </c:val>
          <c:extLst>
            <c:ext xmlns:c16="http://schemas.microsoft.com/office/drawing/2014/chart" uri="{C3380CC4-5D6E-409C-BE32-E72D297353CC}">
              <c16:uniqueId val="{00000001-1AFA-4731-8649-3C2E7AF9E910}"/>
            </c:ext>
          </c:extLst>
        </c:ser>
        <c:dLbls>
          <c:showLegendKey val="0"/>
          <c:showVal val="1"/>
          <c:showCatName val="0"/>
          <c:showSerName val="0"/>
          <c:showPercent val="0"/>
          <c:showBubbleSize val="0"/>
        </c:dLbls>
        <c:gapWidth val="219"/>
        <c:axId val="328850768"/>
        <c:axId val="328849520"/>
      </c:barChart>
      <c:lineChart>
        <c:grouping val="standard"/>
        <c:varyColors val="0"/>
        <c:ser>
          <c:idx val="0"/>
          <c:order val="0"/>
          <c:tx>
            <c:strRef>
              <c:f>Sheet6!$B$3</c:f>
              <c:strCache>
                <c:ptCount val="1"/>
                <c:pt idx="0">
                  <c:v>Sum of Unit Sold</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Acer Aspire 3</c:v>
                </c:pt>
                <c:pt idx="1">
                  <c:v>Dell Inspiron 15</c:v>
                </c:pt>
                <c:pt idx="2">
                  <c:v>Lenovo IdeaPad Slim 3i</c:v>
                </c:pt>
                <c:pt idx="3">
                  <c:v>Mi NoteBook Ultra</c:v>
                </c:pt>
                <c:pt idx="4">
                  <c:v>Samsung Galaxy Go</c:v>
                </c:pt>
              </c:strCache>
            </c:strRef>
          </c:cat>
          <c:val>
            <c:numRef>
              <c:f>Sheet6!$B$4:$B$9</c:f>
              <c:numCache>
                <c:formatCode>General</c:formatCode>
                <c:ptCount val="5"/>
                <c:pt idx="0">
                  <c:v>932</c:v>
                </c:pt>
                <c:pt idx="1">
                  <c:v>1078</c:v>
                </c:pt>
                <c:pt idx="2">
                  <c:v>435</c:v>
                </c:pt>
                <c:pt idx="3">
                  <c:v>734</c:v>
                </c:pt>
                <c:pt idx="4">
                  <c:v>583</c:v>
                </c:pt>
              </c:numCache>
            </c:numRef>
          </c:val>
          <c:smooth val="0"/>
          <c:extLst>
            <c:ext xmlns:c16="http://schemas.microsoft.com/office/drawing/2014/chart" uri="{C3380CC4-5D6E-409C-BE32-E72D297353CC}">
              <c16:uniqueId val="{00000000-1AFA-4731-8649-3C2E7AF9E910}"/>
            </c:ext>
          </c:extLst>
        </c:ser>
        <c:dLbls>
          <c:showLegendKey val="0"/>
          <c:showVal val="1"/>
          <c:showCatName val="0"/>
          <c:showSerName val="0"/>
          <c:showPercent val="0"/>
          <c:showBubbleSize val="0"/>
        </c:dLbls>
        <c:marker val="1"/>
        <c:smooth val="0"/>
        <c:axId val="422948320"/>
        <c:axId val="422951648"/>
      </c:lineChart>
      <c:catAx>
        <c:axId val="32885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849520"/>
        <c:crosses val="autoZero"/>
        <c:auto val="1"/>
        <c:lblAlgn val="ctr"/>
        <c:lblOffset val="100"/>
        <c:noMultiLvlLbl val="0"/>
      </c:catAx>
      <c:valAx>
        <c:axId val="32884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850768"/>
        <c:crosses val="autoZero"/>
        <c:crossBetween val="between"/>
      </c:valAx>
      <c:valAx>
        <c:axId val="4229516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948320"/>
        <c:crosses val="max"/>
        <c:crossBetween val="between"/>
      </c:valAx>
      <c:catAx>
        <c:axId val="422948320"/>
        <c:scaling>
          <c:orientation val="minMax"/>
        </c:scaling>
        <c:delete val="1"/>
        <c:axPos val="b"/>
        <c:numFmt formatCode="General" sourceLinked="1"/>
        <c:majorTickMark val="out"/>
        <c:minorTickMark val="none"/>
        <c:tickLblPos val="nextTo"/>
        <c:crossAx val="4229516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[Excel Dashboard(1)-Sales data-2020.xlsx]Sheet1!PivotTable2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1">
                <a:solidFill>
                  <a:sysClr val="windowText" lastClr="000000"/>
                </a:solidFill>
                <a:latin typeface="Bodoni MT" panose="02070603080606020203" pitchFamily="18" charset="0"/>
              </a:rPr>
              <a:t>REGION</a:t>
            </a:r>
            <a:r>
              <a:rPr lang="en-US" sz="1400" b="1" baseline="0">
                <a:solidFill>
                  <a:sysClr val="windowText" lastClr="000000"/>
                </a:solidFill>
                <a:latin typeface="Bodoni MT" panose="02070603080606020203" pitchFamily="18" charset="0"/>
              </a:rPr>
              <a:t> SALES</a:t>
            </a:r>
            <a:endParaRPr lang="en-US" sz="1400" b="1">
              <a:solidFill>
                <a:sysClr val="windowText" lastClr="000000"/>
              </a:solidFill>
              <a:latin typeface="Bodoni MT" panose="02070603080606020203" pitchFamily="18" charset="0"/>
            </a:endParaRPr>
          </a:p>
        </c:rich>
      </c:tx>
      <c:layout>
        <c:manualLayout>
          <c:xMode val="edge"/>
          <c:yMode val="edge"/>
          <c:x val="0.3753077781196944"/>
          <c:y val="3.409721333162633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Sheet1!$A$4:$A$8</c:f>
              <c:strCache>
                <c:ptCount val="4"/>
                <c:pt idx="0">
                  <c:v> East</c:v>
                </c:pt>
                <c:pt idx="1">
                  <c:v> North</c:v>
                </c:pt>
                <c:pt idx="2">
                  <c:v> South</c:v>
                </c:pt>
                <c:pt idx="3">
                  <c:v> West</c:v>
                </c:pt>
              </c:strCache>
            </c:strRef>
          </c:cat>
          <c:val>
            <c:numRef>
              <c:f>Sheet1!$B$4:$B$8</c:f>
              <c:numCache>
                <c:formatCode>General</c:formatCode>
                <c:ptCount val="4"/>
                <c:pt idx="0">
                  <c:v>1164</c:v>
                </c:pt>
                <c:pt idx="1">
                  <c:v>738</c:v>
                </c:pt>
                <c:pt idx="2">
                  <c:v>545</c:v>
                </c:pt>
                <c:pt idx="3">
                  <c:v>1315</c:v>
                </c:pt>
              </c:numCache>
            </c:numRef>
          </c:val>
          <c:extLst>
            <c:ext xmlns:c16="http://schemas.microsoft.com/office/drawing/2014/chart" uri="{C3380CC4-5D6E-409C-BE32-E72D297353CC}">
              <c16:uniqueId val="{00000000-A570-44F9-9531-A78E406C0965}"/>
            </c:ext>
          </c:extLst>
        </c:ser>
        <c:dLbls>
          <c:dLblPos val="inEnd"/>
          <c:showLegendKey val="0"/>
          <c:showVal val="1"/>
          <c:showCatName val="0"/>
          <c:showSerName val="0"/>
          <c:showPercent val="0"/>
          <c:showBubbleSize val="0"/>
        </c:dLbls>
        <c:gapWidth val="100"/>
        <c:axId val="449031232"/>
        <c:axId val="449032896"/>
      </c:barChart>
      <c:catAx>
        <c:axId val="4490312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9032896"/>
        <c:crosses val="autoZero"/>
        <c:auto val="1"/>
        <c:lblAlgn val="ctr"/>
        <c:lblOffset val="100"/>
        <c:noMultiLvlLbl val="0"/>
      </c:catAx>
      <c:valAx>
        <c:axId val="44903289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9031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50800" cap="flat" cmpd="tri" algn="ctr">
      <a:solidFill>
        <a:schemeClr val="accent6">
          <a:lumMod val="75000"/>
        </a:schemeClr>
      </a:solidFill>
      <a:round/>
    </a:ln>
    <a:effectLst>
      <a:outerShdw blurRad="50800" dist="38100" dir="2700000" algn="tl" rotWithShape="0">
        <a:schemeClr val="accent6">
          <a:lumMod val="20000"/>
          <a:lumOff val="8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[Excel Dashboard(1)-Sales data-2020.xlsx]Sheet2!PivotTable3</c:name>
    <c:fmtId val="4"/>
  </c:pivotSource>
  <c:chart>
    <c:title>
      <c:tx>
        <c:rich>
          <a:bodyPr rot="0" spcFirstLastPara="1" vertOverflow="ellipsis" vert="horz" wrap="square" anchor="ctr" anchorCtr="1"/>
          <a:lstStyle/>
          <a:p>
            <a:pPr algn="ctr" rtl="0">
              <a:defRPr lang="en-US" sz="1400" b="1" i="0" u="none" strike="noStrike" kern="1200" cap="all" spc="120" normalizeH="0" baseline="0">
                <a:solidFill>
                  <a:sysClr val="windowText" lastClr="000000"/>
                </a:solidFill>
                <a:latin typeface="Bodoni MT" panose="02070603080606020203" pitchFamily="18" charset="0"/>
                <a:ea typeface="+mn-ea"/>
                <a:cs typeface="+mn-cs"/>
              </a:defRPr>
            </a:pPr>
            <a:r>
              <a:rPr lang="en-US" sz="1400" b="1" i="0" u="none" strike="noStrike" kern="1200" baseline="0">
                <a:solidFill>
                  <a:sysClr val="windowText" lastClr="000000"/>
                </a:solidFill>
                <a:latin typeface="Bodoni MT" panose="02070603080606020203" pitchFamily="18" charset="0"/>
                <a:ea typeface="+mn-ea"/>
                <a:cs typeface="+mn-cs"/>
              </a:rPr>
              <a:t>Monthly Trend</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120" normalizeH="0" baseline="0">
              <a:solidFill>
                <a:sysClr val="windowText" lastClr="000000"/>
              </a:solidFill>
              <a:latin typeface="Bodoni MT" panose="020706030806060202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57000"/>
                      </a:schemeClr>
                    </a:solidFill>
                  </a:ln>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57000"/>
                        </a:schemeClr>
                      </a:solidFill>
                    </a:ln>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Sheet2!$A$4:$A$10</c:f>
              <c:strCache>
                <c:ptCount val="6"/>
                <c:pt idx="0">
                  <c:v>Jan</c:v>
                </c:pt>
                <c:pt idx="1">
                  <c:v>Feb</c:v>
                </c:pt>
                <c:pt idx="2">
                  <c:v>Mar</c:v>
                </c:pt>
                <c:pt idx="3">
                  <c:v>Apr</c:v>
                </c:pt>
                <c:pt idx="4">
                  <c:v>May</c:v>
                </c:pt>
                <c:pt idx="5">
                  <c:v>Jun</c:v>
                </c:pt>
              </c:strCache>
            </c:strRef>
          </c:cat>
          <c:val>
            <c:numRef>
              <c:f>Sheet2!$B$4:$B$10</c:f>
              <c:numCache>
                <c:formatCode>General</c:formatCode>
                <c:ptCount val="6"/>
                <c:pt idx="0">
                  <c:v>842</c:v>
                </c:pt>
                <c:pt idx="1">
                  <c:v>379</c:v>
                </c:pt>
                <c:pt idx="2">
                  <c:v>544</c:v>
                </c:pt>
                <c:pt idx="3">
                  <c:v>642</c:v>
                </c:pt>
                <c:pt idx="4">
                  <c:v>869</c:v>
                </c:pt>
                <c:pt idx="5">
                  <c:v>486</c:v>
                </c:pt>
              </c:numCache>
            </c:numRef>
          </c:val>
          <c:smooth val="0"/>
          <c:extLst>
            <c:ext xmlns:c16="http://schemas.microsoft.com/office/drawing/2014/chart" uri="{C3380CC4-5D6E-409C-BE32-E72D297353CC}">
              <c16:uniqueId val="{00000000-A650-444D-BC82-5A860C6BED83}"/>
            </c:ext>
          </c:extLst>
        </c:ser>
        <c:dLbls>
          <c:dLblPos val="t"/>
          <c:showLegendKey val="0"/>
          <c:showVal val="1"/>
          <c:showCatName val="0"/>
          <c:showSerName val="0"/>
          <c:showPercent val="0"/>
          <c:showBubbleSize val="0"/>
        </c:dLbls>
        <c:marker val="1"/>
        <c:smooth val="0"/>
        <c:axId val="444511840"/>
        <c:axId val="444512256"/>
      </c:lineChart>
      <c:catAx>
        <c:axId val="444511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444512256"/>
        <c:crosses val="autoZero"/>
        <c:auto val="1"/>
        <c:lblAlgn val="ctr"/>
        <c:lblOffset val="100"/>
        <c:noMultiLvlLbl val="0"/>
      </c:catAx>
      <c:valAx>
        <c:axId val="44451225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444511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50800" cap="flat" cmpd="tri" algn="ctr">
      <a:solidFill>
        <a:schemeClr val="accent6">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[Excel Dashboard(1)-Sales data-2020.xlsx]Sheet3!PivotTable4</c:name>
    <c:fmtId val="4"/>
  </c:pivotSource>
  <c:chart>
    <c:title>
      <c:tx>
        <c:rich>
          <a:bodyPr rot="0" spcFirstLastPara="1" vertOverflow="ellipsis" vert="horz" wrap="square" anchor="ctr" anchorCtr="1"/>
          <a:lstStyle/>
          <a:p>
            <a:pPr algn="ctr" rtl="0">
              <a:defRPr lang="en-US" sz="1400" b="1" i="0" u="none" strike="noStrike" kern="1200" cap="all" spc="120" normalizeH="0" baseline="0">
                <a:solidFill>
                  <a:sysClr val="windowText" lastClr="000000"/>
                </a:solidFill>
                <a:latin typeface="Bodoni MT" panose="02070603080606020203" pitchFamily="18" charset="0"/>
                <a:ea typeface="+mn-ea"/>
                <a:cs typeface="+mn-cs"/>
              </a:defRPr>
            </a:pPr>
            <a:r>
              <a:rPr lang="en-US" sz="1400" b="1" i="0" u="none" strike="noStrike" kern="1200" cap="all" spc="120" normalizeH="0" baseline="0">
                <a:solidFill>
                  <a:sysClr val="windowText" lastClr="000000"/>
                </a:solidFill>
                <a:latin typeface="Bodoni MT" panose="02070603080606020203" pitchFamily="18" charset="0"/>
                <a:ea typeface="+mn-ea"/>
                <a:cs typeface="+mn-cs"/>
              </a:rPr>
              <a:t>Orders by State</a:t>
            </a:r>
          </a:p>
        </c:rich>
      </c:tx>
      <c:layout>
        <c:manualLayout>
          <c:xMode val="edge"/>
          <c:yMode val="edge"/>
          <c:x val="0.36615966754155727"/>
          <c:y val="2.7777777777777776E-2"/>
        </c:manualLayout>
      </c:layout>
      <c:overlay val="0"/>
      <c:spPr>
        <a:noFill/>
        <a:ln>
          <a:noFill/>
        </a:ln>
        <a:effectLst/>
      </c:spPr>
      <c:txPr>
        <a:bodyPr rot="0" spcFirstLastPara="1" vertOverflow="ellipsis" vert="horz" wrap="square" anchor="ctr" anchorCtr="1"/>
        <a:lstStyle/>
        <a:p>
          <a:pPr algn="ctr" rtl="0">
            <a:defRPr lang="en-US" sz="1400" b="1" i="0" u="none" strike="noStrike" kern="1200" cap="all" spc="120" normalizeH="0" baseline="0">
              <a:solidFill>
                <a:sysClr val="windowText" lastClr="000000"/>
              </a:solidFill>
              <a:latin typeface="Bodoni MT" panose="02070603080606020203" pitchFamily="18" charset="0"/>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dLbl>
          <c:idx val="0"/>
          <c:layout>
            <c:manualLayout>
              <c:x val="1.2028868526740174E-2"/>
              <c:y val="-5.6550407341044377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dLbl>
          <c:idx val="0"/>
          <c:layout>
            <c:manualLayout>
              <c:x val="4.8116421261962805E-3"/>
              <c:y val="-5.6550407341044426E-2"/>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ln>
                    <a:solidFill>
                      <a:schemeClr val="tx1"/>
                    </a:solidFill>
                  </a:ln>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7345626521249323E-2"/>
                  <c:h val="7.3430926571745103E-2"/>
                </c:manualLayout>
              </c15:layout>
            </c:ext>
          </c:extLst>
        </c:dLbl>
      </c:pivotFmt>
      <c:pivotFmt>
        <c:idx val="5"/>
        <c:spPr>
          <a:solidFill>
            <a:schemeClr val="accent6"/>
          </a:solidFill>
          <a:ln>
            <a:noFill/>
          </a:ln>
          <a:effectLst/>
          <a:sp3d/>
        </c:spPr>
        <c:dLbl>
          <c:idx val="0"/>
          <c:layout>
            <c:manualLayout>
              <c:x val="1.2028868526740174E-2"/>
              <c:y val="-4.524032587283552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dLbl>
          <c:idx val="0"/>
          <c:layout>
            <c:manualLayout>
              <c:x val="1.2028868526740174E-2"/>
              <c:y val="-5.6550407341044377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9536721287225501E-2"/>
          <c:y val="0.19139994519686609"/>
          <c:w val="0.80598104006172311"/>
          <c:h val="0.67115499752183316"/>
        </c:manualLayout>
      </c:layout>
      <c:bar3DChart>
        <c:barDir val="col"/>
        <c:grouping val="clustered"/>
        <c:varyColors val="0"/>
        <c:ser>
          <c:idx val="0"/>
          <c:order val="0"/>
          <c:tx>
            <c:strRef>
              <c:f>Sheet3!$B$3</c:f>
              <c:strCache>
                <c:ptCount val="1"/>
                <c:pt idx="0">
                  <c:v>Total</c:v>
                </c:pt>
              </c:strCache>
            </c:strRef>
          </c:tx>
          <c:spPr>
            <a:solidFill>
              <a:schemeClr val="accent6"/>
            </a:solidFill>
            <a:ln>
              <a:noFill/>
            </a:ln>
            <a:effectLst/>
            <a:sp3d/>
          </c:spPr>
          <c:invertIfNegative val="0"/>
          <c:dPt>
            <c:idx val="0"/>
            <c:invertIfNegative val="0"/>
            <c:bubble3D val="0"/>
            <c:spPr>
              <a:solidFill>
                <a:schemeClr val="accent6"/>
              </a:solidFill>
              <a:ln>
                <a:noFill/>
              </a:ln>
              <a:effectLst/>
              <a:sp3d/>
            </c:spPr>
            <c:extLst>
              <c:ext xmlns:c16="http://schemas.microsoft.com/office/drawing/2014/chart" uri="{C3380CC4-5D6E-409C-BE32-E72D297353CC}">
                <c16:uniqueId val="{00000000-CE29-4839-B5F2-AF53AE89D927}"/>
              </c:ext>
            </c:extLst>
          </c:dPt>
          <c:dPt>
            <c:idx val="1"/>
            <c:invertIfNegative val="0"/>
            <c:bubble3D val="0"/>
            <c:spPr>
              <a:solidFill>
                <a:schemeClr val="accent6"/>
              </a:solidFill>
              <a:ln>
                <a:noFill/>
              </a:ln>
              <a:effectLst/>
              <a:sp3d/>
            </c:spPr>
            <c:extLst>
              <c:ext xmlns:c16="http://schemas.microsoft.com/office/drawing/2014/chart" uri="{C3380CC4-5D6E-409C-BE32-E72D297353CC}">
                <c16:uniqueId val="{00000001-CE29-4839-B5F2-AF53AE89D927}"/>
              </c:ext>
            </c:extLst>
          </c:dPt>
          <c:dPt>
            <c:idx val="2"/>
            <c:invertIfNegative val="0"/>
            <c:bubble3D val="0"/>
            <c:spPr>
              <a:solidFill>
                <a:schemeClr val="accent6"/>
              </a:solidFill>
              <a:ln>
                <a:noFill/>
              </a:ln>
              <a:effectLst/>
              <a:sp3d/>
            </c:spPr>
            <c:extLst>
              <c:ext xmlns:c16="http://schemas.microsoft.com/office/drawing/2014/chart" uri="{C3380CC4-5D6E-409C-BE32-E72D297353CC}">
                <c16:uniqueId val="{00000002-CE29-4839-B5F2-AF53AE89D927}"/>
              </c:ext>
            </c:extLst>
          </c:dPt>
          <c:dPt>
            <c:idx val="3"/>
            <c:invertIfNegative val="0"/>
            <c:bubble3D val="0"/>
            <c:spPr>
              <a:solidFill>
                <a:schemeClr val="accent6"/>
              </a:solidFill>
              <a:ln>
                <a:noFill/>
              </a:ln>
              <a:effectLst/>
              <a:sp3d/>
            </c:spPr>
            <c:extLst>
              <c:ext xmlns:c16="http://schemas.microsoft.com/office/drawing/2014/chart" uri="{C3380CC4-5D6E-409C-BE32-E72D297353CC}">
                <c16:uniqueId val="{00000003-CE29-4839-B5F2-AF53AE89D927}"/>
              </c:ext>
            </c:extLst>
          </c:dPt>
          <c:dLbls>
            <c:dLbl>
              <c:idx val="0"/>
              <c:layout>
                <c:manualLayout>
                  <c:x val="1.2028868526740174E-2"/>
                  <c:y val="-5.65504073410443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29-4839-B5F2-AF53AE89D927}"/>
                </c:ext>
              </c:extLst>
            </c:dLbl>
            <c:dLbl>
              <c:idx val="1"/>
              <c:layout>
                <c:manualLayout>
                  <c:x val="4.8116421261962805E-3"/>
                  <c:y val="-5.6550407341044426E-2"/>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ln>
                        <a:solidFill>
                          <a:schemeClr val="tx1"/>
                        </a:solidFill>
                      </a:ln>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7345626521249323E-2"/>
                      <c:h val="7.3430926571745103E-2"/>
                    </c:manualLayout>
                  </c15:layout>
                </c:ext>
                <c:ext xmlns:c16="http://schemas.microsoft.com/office/drawing/2014/chart" uri="{C3380CC4-5D6E-409C-BE32-E72D297353CC}">
                  <c16:uniqueId val="{00000001-CE29-4839-B5F2-AF53AE89D927}"/>
                </c:ext>
              </c:extLst>
            </c:dLbl>
            <c:dLbl>
              <c:idx val="2"/>
              <c:layout>
                <c:manualLayout>
                  <c:x val="1.2028868526740174E-2"/>
                  <c:y val="-4.5240325872835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29-4839-B5F2-AF53AE89D927}"/>
                </c:ext>
              </c:extLst>
            </c:dLbl>
            <c:dLbl>
              <c:idx val="3"/>
              <c:layout>
                <c:manualLayout>
                  <c:x val="1.2028868526740174E-2"/>
                  <c:y val="-5.65504073410443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29-4839-B5F2-AF53AE89D927}"/>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bihar</c:v>
                </c:pt>
                <c:pt idx="1">
                  <c:v>delhi</c:v>
                </c:pt>
                <c:pt idx="2">
                  <c:v>gujarat</c:v>
                </c:pt>
                <c:pt idx="3">
                  <c:v>puducherry</c:v>
                </c:pt>
              </c:strCache>
            </c:strRef>
          </c:cat>
          <c:val>
            <c:numRef>
              <c:f>Sheet3!$B$4:$B$8</c:f>
              <c:numCache>
                <c:formatCode>General</c:formatCode>
                <c:ptCount val="4"/>
                <c:pt idx="0">
                  <c:v>215</c:v>
                </c:pt>
                <c:pt idx="1">
                  <c:v>131</c:v>
                </c:pt>
                <c:pt idx="2">
                  <c:v>255</c:v>
                </c:pt>
                <c:pt idx="3">
                  <c:v>99</c:v>
                </c:pt>
              </c:numCache>
            </c:numRef>
          </c:val>
          <c:extLst>
            <c:ext xmlns:c16="http://schemas.microsoft.com/office/drawing/2014/chart" uri="{C3380CC4-5D6E-409C-BE32-E72D297353CC}">
              <c16:uniqueId val="{00000000-6BEE-4CC3-A67E-3BF4E670D4D4}"/>
            </c:ext>
          </c:extLst>
        </c:ser>
        <c:dLbls>
          <c:showLegendKey val="0"/>
          <c:showVal val="1"/>
          <c:showCatName val="0"/>
          <c:showSerName val="0"/>
          <c:showPercent val="0"/>
          <c:showBubbleSize val="0"/>
        </c:dLbls>
        <c:gapWidth val="150"/>
        <c:shape val="box"/>
        <c:axId val="573153472"/>
        <c:axId val="573153056"/>
        <c:axId val="0"/>
      </c:bar3DChart>
      <c:catAx>
        <c:axId val="573153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solidFill>
                    <a:schemeClr val="tx1">
                      <a:alpha val="20000"/>
                    </a:schemeClr>
                  </a:solidFill>
                </a:ln>
                <a:solidFill>
                  <a:schemeClr val="tx1"/>
                </a:solidFill>
                <a:latin typeface="+mn-lt"/>
                <a:ea typeface="+mn-ea"/>
                <a:cs typeface="+mn-cs"/>
              </a:defRPr>
            </a:pPr>
            <a:endParaRPr lang="en-US"/>
          </a:p>
        </c:txPr>
        <c:crossAx val="573153056"/>
        <c:crosses val="autoZero"/>
        <c:auto val="1"/>
        <c:lblAlgn val="ctr"/>
        <c:lblOffset val="100"/>
        <c:noMultiLvlLbl val="0"/>
      </c:catAx>
      <c:valAx>
        <c:axId val="57315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latin typeface="+mn-lt"/>
                <a:ea typeface="+mn-ea"/>
                <a:cs typeface="+mn-cs"/>
              </a:defRPr>
            </a:pPr>
            <a:endParaRPr lang="en-US"/>
          </a:p>
        </c:txPr>
        <c:crossAx val="57315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50800" cap="flat" cmpd="tri" algn="ctr">
      <a:solidFill>
        <a:schemeClr val="accent6">
          <a:lumMod val="75000"/>
        </a:schemeClr>
      </a:solid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Dashboard(1)-Sales data-2020.xlsx]Sheet4!PivotTable5</c:name>
    <c:fmtId val="3"/>
  </c:pivotSource>
  <c:chart>
    <c:title>
      <c:tx>
        <c:rich>
          <a:bodyPr rot="0" spcFirstLastPara="1" vertOverflow="ellipsis" vert="horz" wrap="square" anchor="ctr" anchorCtr="1"/>
          <a:lstStyle/>
          <a:p>
            <a:pPr algn="ctr" rtl="0">
              <a:defRPr lang="en-US" sz="1400" b="1" i="0" u="none" strike="noStrike" kern="1200" cap="all" spc="50" baseline="0">
                <a:solidFill>
                  <a:sysClr val="windowText" lastClr="000000"/>
                </a:solidFill>
                <a:latin typeface="Bodoni MT" panose="02070603080606020203" pitchFamily="18" charset="0"/>
                <a:ea typeface="+mn-ea"/>
                <a:cs typeface="+mn-cs"/>
              </a:defRPr>
            </a:pPr>
            <a:r>
              <a:rPr lang="en-US" sz="1400" b="1" i="0" u="none" strike="noStrike" kern="1200" baseline="0">
                <a:solidFill>
                  <a:sysClr val="windowText" lastClr="000000"/>
                </a:solidFill>
                <a:latin typeface="Bodoni MT" panose="02070603080606020203" pitchFamily="18" charset="0"/>
                <a:ea typeface="+mn-ea"/>
                <a:cs typeface="+mn-cs"/>
              </a:rPr>
              <a:t>Product Volume Share</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ysClr val="windowText" lastClr="000000"/>
              </a:solidFill>
              <a:latin typeface="Bodoni MT" panose="020706030806060202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Sheet4!$B$3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62E-4CD6-8235-37451A4FBD1D}"/>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62E-4CD6-8235-37451A4FBD1D}"/>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62E-4CD6-8235-37451A4FBD1D}"/>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62E-4CD6-8235-37451A4FBD1D}"/>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62E-4CD6-8235-37451A4FBD1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Sheet4!$A$4:$A$9</c:f>
              <c:strCache>
                <c:ptCount val="5"/>
                <c:pt idx="0">
                  <c:v>Acer Aspire 3</c:v>
                </c:pt>
                <c:pt idx="1">
                  <c:v>Dell Inspiron 15</c:v>
                </c:pt>
                <c:pt idx="2">
                  <c:v>Lenovo IdeaPad Slim 3i</c:v>
                </c:pt>
                <c:pt idx="3">
                  <c:v>Mi NoteBook Ultra</c:v>
                </c:pt>
                <c:pt idx="4">
                  <c:v>Samsung Galaxy Go</c:v>
                </c:pt>
              </c:strCache>
            </c:strRef>
          </c:cat>
          <c:val>
            <c:numRef>
              <c:f>Sheet4!$B$4:$B$9</c:f>
              <c:numCache>
                <c:formatCode>General</c:formatCode>
                <c:ptCount val="5"/>
                <c:pt idx="0">
                  <c:v>932</c:v>
                </c:pt>
                <c:pt idx="1">
                  <c:v>1078</c:v>
                </c:pt>
                <c:pt idx="2">
                  <c:v>435</c:v>
                </c:pt>
                <c:pt idx="3">
                  <c:v>734</c:v>
                </c:pt>
                <c:pt idx="4">
                  <c:v>583</c:v>
                </c:pt>
              </c:numCache>
            </c:numRef>
          </c:val>
          <c:extLst>
            <c:ext xmlns:c16="http://schemas.microsoft.com/office/drawing/2014/chart" uri="{C3380CC4-5D6E-409C-BE32-E72D297353CC}">
              <c16:uniqueId val="{0000000A-962E-4CD6-8235-37451A4FBD1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50800" cap="flat" cmpd="tri"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[Excel Dashboard(1)-Sales data-2020.xlsx]Sheet5!PivotTable6</c:name>
    <c:fmtId val="6"/>
  </c:pivotSource>
  <c:chart>
    <c:title>
      <c:tx>
        <c:rich>
          <a:bodyPr rot="0" spcFirstLastPara="1" vertOverflow="ellipsis" vert="horz" wrap="square" anchor="ctr" anchorCtr="1"/>
          <a:lstStyle/>
          <a:p>
            <a:pPr algn="ctr" rtl="0">
              <a:defRPr lang="en-US" sz="1400" b="1" i="0" u="none" strike="noStrike" kern="1200" cap="all" spc="50" baseline="0">
                <a:solidFill>
                  <a:sysClr val="windowText" lastClr="000000"/>
                </a:solidFill>
                <a:latin typeface="Bodoni MT" panose="02070603080606020203" pitchFamily="18" charset="0"/>
                <a:ea typeface="+mn-ea"/>
                <a:cs typeface="+mn-cs"/>
              </a:defRPr>
            </a:pPr>
            <a:r>
              <a:rPr lang="en-US" sz="1400" b="1" i="0" u="none" strike="noStrike" kern="1200" cap="all" spc="50" baseline="0">
                <a:solidFill>
                  <a:sysClr val="windowText" lastClr="000000"/>
                </a:solidFill>
                <a:latin typeface="Bodoni MT" panose="02070603080606020203" pitchFamily="18" charset="0"/>
                <a:ea typeface="+mn-ea"/>
                <a:cs typeface="+mn-cs"/>
              </a:rPr>
              <a:t> UNITS SOLD BY PRODUCT</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ysClr val="windowText" lastClr="000000"/>
              </a:solidFill>
              <a:latin typeface="Bodoni MT" panose="02070603080606020203" pitchFamily="18" charset="0"/>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56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56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Acer Aspire 3</c:v>
                </c:pt>
                <c:pt idx="1">
                  <c:v>Dell Inspiron 15</c:v>
                </c:pt>
                <c:pt idx="2">
                  <c:v>Lenovo IdeaPad Slim 3i</c:v>
                </c:pt>
                <c:pt idx="3">
                  <c:v>Mi NoteBook Ultra</c:v>
                </c:pt>
                <c:pt idx="4">
                  <c:v>Samsung Galaxy Go</c:v>
                </c:pt>
              </c:strCache>
            </c:strRef>
          </c:cat>
          <c:val>
            <c:numRef>
              <c:f>Sheet5!$B$4:$B$9</c:f>
              <c:numCache>
                <c:formatCode>General</c:formatCode>
                <c:ptCount val="5"/>
                <c:pt idx="0">
                  <c:v>932</c:v>
                </c:pt>
                <c:pt idx="1">
                  <c:v>1078</c:v>
                </c:pt>
                <c:pt idx="2">
                  <c:v>435</c:v>
                </c:pt>
                <c:pt idx="3">
                  <c:v>734</c:v>
                </c:pt>
                <c:pt idx="4">
                  <c:v>583</c:v>
                </c:pt>
              </c:numCache>
            </c:numRef>
          </c:val>
          <c:extLst>
            <c:ext xmlns:c16="http://schemas.microsoft.com/office/drawing/2014/chart" uri="{C3380CC4-5D6E-409C-BE32-E72D297353CC}">
              <c16:uniqueId val="{00000000-A06B-45E2-9510-021A13D8E2E1}"/>
            </c:ext>
          </c:extLst>
        </c:ser>
        <c:dLbls>
          <c:dLblPos val="outEnd"/>
          <c:showLegendKey val="0"/>
          <c:showVal val="1"/>
          <c:showCatName val="0"/>
          <c:showSerName val="0"/>
          <c:showPercent val="0"/>
          <c:showBubbleSize val="0"/>
        </c:dLbls>
        <c:gapWidth val="219"/>
        <c:overlap val="-27"/>
        <c:axId val="442490896"/>
        <c:axId val="442485072"/>
      </c:barChart>
      <c:catAx>
        <c:axId val="44249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2485072"/>
        <c:crosses val="autoZero"/>
        <c:auto val="1"/>
        <c:lblAlgn val="ctr"/>
        <c:lblOffset val="100"/>
        <c:noMultiLvlLbl val="0"/>
      </c:catAx>
      <c:valAx>
        <c:axId val="44248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249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50800" cap="flat" cmpd="tri" algn="ctr">
      <a:solidFill>
        <a:schemeClr val="accent6">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[Excel Dashboard(1)-Sales data-2020.xlsx]Sheet6!PivotTable7</c:name>
    <c:fmtId val="4"/>
  </c:pivotSource>
  <c:chart>
    <c:title>
      <c:tx>
        <c:rich>
          <a:bodyPr rot="0" spcFirstLastPara="1" vertOverflow="ellipsis" vert="horz" wrap="square" anchor="ctr" anchorCtr="1"/>
          <a:lstStyle/>
          <a:p>
            <a:pPr algn="ctr" rtl="0">
              <a:defRPr lang="en-US" sz="1400" b="1" i="0" u="none" strike="noStrike" kern="1200" cap="all" spc="120" normalizeH="0" baseline="0">
                <a:ln>
                  <a:noFill/>
                </a:ln>
                <a:solidFill>
                  <a:sysClr val="windowText" lastClr="000000"/>
                </a:solidFill>
                <a:latin typeface="Bodoni MT" panose="02070603080606020203" pitchFamily="18" charset="0"/>
                <a:ea typeface="+mn-ea"/>
                <a:cs typeface="+mn-cs"/>
              </a:defRPr>
            </a:pPr>
            <a:r>
              <a:rPr lang="en-US" sz="1400" b="1" i="0" u="none" strike="noStrike" kern="1200" cap="all" spc="120" normalizeH="0" baseline="0">
                <a:solidFill>
                  <a:sysClr val="windowText" lastClr="000000"/>
                </a:solidFill>
                <a:latin typeface="Bodoni MT" panose="02070603080606020203" pitchFamily="18" charset="0"/>
                <a:ea typeface="+mn-ea"/>
                <a:cs typeface="+mn-cs"/>
              </a:rPr>
              <a:t>Price vs Volume</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120" normalizeH="0" baseline="0">
              <a:ln>
                <a:noFill/>
              </a:ln>
              <a:solidFill>
                <a:sysClr val="windowText" lastClr="000000"/>
              </a:solidFill>
              <a:latin typeface="Bodoni MT" panose="02070603080606020203" pitchFamily="18" charset="0"/>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15875" cap="rnd">
            <a:solidFill>
              <a:schemeClr val="accent4"/>
            </a:solidFill>
            <a:round/>
          </a:ln>
          <a:effectLst/>
        </c:spPr>
        <c:marker>
          <c:symbol val="circle"/>
          <c:size val="5"/>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15875" cap="rnd">
            <a:solidFill>
              <a:schemeClr val="accent4"/>
            </a:solidFill>
            <a:round/>
          </a:ln>
          <a:effectLst/>
        </c:spPr>
        <c:marker>
          <c:symbol val="circle"/>
          <c:size val="5"/>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marker>
      </c:pivotFmt>
      <c:pivotFmt>
        <c:idx val="7"/>
        <c:spPr>
          <a:ln w="15875" cap="rnd">
            <a:solidFill>
              <a:schemeClr val="accent4"/>
            </a:solidFill>
            <a:round/>
          </a:ln>
          <a:effectLst/>
        </c:spPr>
        <c:marker>
          <c:symbol val="circle"/>
          <c:size val="5"/>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marker>
        <c:dLbl>
          <c:idx val="0"/>
          <c:layout>
            <c:manualLayout>
              <c:x val="-4.2186733238204203E-2"/>
              <c:y val="-6.49906380174415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15875" cap="rnd">
            <a:solidFill>
              <a:schemeClr val="accent4"/>
            </a:solidFill>
            <a:round/>
          </a:ln>
          <a:effectLst/>
        </c:spPr>
        <c:marker>
          <c:symbol val="circle"/>
          <c:size val="5"/>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marker>
        <c:dLbl>
          <c:idx val="0"/>
          <c:layout>
            <c:manualLayout>
              <c:x val="-3.6727836996257236E-2"/>
              <c:y val="-0.121541020177799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15875" cap="rnd">
            <a:solidFill>
              <a:schemeClr val="accent4"/>
            </a:solidFill>
            <a:round/>
          </a:ln>
          <a:effectLst/>
        </c:spPr>
        <c:marker>
          <c:symbol val="circle"/>
          <c:size val="5"/>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marker>
        <c:dLbl>
          <c:idx val="0"/>
          <c:layout>
            <c:manualLayout>
              <c:x val="-3.6727836996257236E-2"/>
              <c:y val="-0.132851096609871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15875" cap="rnd">
            <a:solidFill>
              <a:schemeClr val="accent4"/>
            </a:solidFill>
            <a:round/>
          </a:ln>
          <a:effectLst/>
        </c:spPr>
        <c:marker>
          <c:symbol val="circle"/>
          <c:size val="5"/>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marker>
        <c:dLbl>
          <c:idx val="0"/>
          <c:layout>
            <c:manualLayout>
              <c:x val="-3.6727836996257236E-2"/>
              <c:y val="-7.0645676233477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64039185307749"/>
          <c:y val="0.19432373512191572"/>
          <c:w val="0.75150493725636314"/>
          <c:h val="0.5179779082666256"/>
        </c:manualLayout>
      </c:layout>
      <c:barChart>
        <c:barDir val="col"/>
        <c:grouping val="clustered"/>
        <c:varyColors val="0"/>
        <c:ser>
          <c:idx val="1"/>
          <c:order val="1"/>
          <c:tx>
            <c:strRef>
              <c:f>Sheet6!$C$3</c:f>
              <c:strCache>
                <c:ptCount val="1"/>
                <c:pt idx="0">
                  <c:v>Average of Sale Price</c:v>
                </c:pt>
              </c:strCache>
            </c:strRef>
          </c:tx>
          <c:spPr>
            <a:gradFill rotWithShape="1">
              <a:gsLst>
                <a:gs pos="0">
                  <a:schemeClr val="accent6">
                    <a:shade val="76000"/>
                    <a:lumMod val="110000"/>
                    <a:satMod val="105000"/>
                    <a:tint val="67000"/>
                  </a:schemeClr>
                </a:gs>
                <a:gs pos="50000">
                  <a:schemeClr val="accent6">
                    <a:shade val="76000"/>
                    <a:lumMod val="105000"/>
                    <a:satMod val="103000"/>
                    <a:tint val="73000"/>
                  </a:schemeClr>
                </a:gs>
                <a:gs pos="100000">
                  <a:schemeClr val="accent6">
                    <a:shade val="76000"/>
                    <a:lumMod val="105000"/>
                    <a:satMod val="109000"/>
                    <a:tint val="81000"/>
                  </a:schemeClr>
                </a:gs>
              </a:gsLst>
              <a:lin ang="5400000" scaled="0"/>
            </a:gradFill>
            <a:ln w="9525" cap="flat" cmpd="sng" algn="ctr">
              <a:solidFill>
                <a:schemeClr val="accent6">
                  <a:shade val="76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Sheet6!$A$4:$A$9</c:f>
              <c:strCache>
                <c:ptCount val="5"/>
                <c:pt idx="0">
                  <c:v>Acer Aspire 3</c:v>
                </c:pt>
                <c:pt idx="1">
                  <c:v>Dell Inspiron 15</c:v>
                </c:pt>
                <c:pt idx="2">
                  <c:v>Lenovo IdeaPad Slim 3i</c:v>
                </c:pt>
                <c:pt idx="3">
                  <c:v>Mi NoteBook Ultra</c:v>
                </c:pt>
                <c:pt idx="4">
                  <c:v>Samsung Galaxy Go</c:v>
                </c:pt>
              </c:strCache>
            </c:strRef>
          </c:cat>
          <c:val>
            <c:numRef>
              <c:f>Sheet6!$C$4:$C$9</c:f>
              <c:numCache>
                <c:formatCode>General</c:formatCode>
                <c:ptCount val="5"/>
                <c:pt idx="0">
                  <c:v>38980</c:v>
                </c:pt>
                <c:pt idx="1">
                  <c:v>66989</c:v>
                </c:pt>
                <c:pt idx="2">
                  <c:v>34690</c:v>
                </c:pt>
                <c:pt idx="3">
                  <c:v>57999</c:v>
                </c:pt>
                <c:pt idx="4">
                  <c:v>36990</c:v>
                </c:pt>
              </c:numCache>
            </c:numRef>
          </c:val>
          <c:extLst>
            <c:ext xmlns:c16="http://schemas.microsoft.com/office/drawing/2014/chart" uri="{C3380CC4-5D6E-409C-BE32-E72D297353CC}">
              <c16:uniqueId val="{00000000-0AAA-427C-B90C-D43FC8175920}"/>
            </c:ext>
          </c:extLst>
        </c:ser>
        <c:dLbls>
          <c:showLegendKey val="0"/>
          <c:showVal val="1"/>
          <c:showCatName val="0"/>
          <c:showSerName val="0"/>
          <c:showPercent val="0"/>
          <c:showBubbleSize val="0"/>
        </c:dLbls>
        <c:gapWidth val="219"/>
        <c:axId val="328850768"/>
        <c:axId val="328849520"/>
      </c:barChart>
      <c:lineChart>
        <c:grouping val="standard"/>
        <c:varyColors val="0"/>
        <c:ser>
          <c:idx val="0"/>
          <c:order val="0"/>
          <c:tx>
            <c:strRef>
              <c:f>Sheet6!$B$3</c:f>
              <c:strCache>
                <c:ptCount val="1"/>
                <c:pt idx="0">
                  <c:v>Sum of Unit Sold</c:v>
                </c:pt>
              </c:strCache>
            </c:strRef>
          </c:tx>
          <c:spPr>
            <a:ln w="15875" cap="rnd">
              <a:solidFill>
                <a:schemeClr val="accent4"/>
              </a:solidFill>
              <a:round/>
            </a:ln>
            <a:effectLst/>
          </c:spPr>
          <c:marker>
            <c:symbol val="circle"/>
            <c:size val="5"/>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marker>
          <c:dPt>
            <c:idx val="0"/>
            <c:marker>
              <c:symbol val="circle"/>
              <c:size val="5"/>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marker>
            <c:bubble3D val="0"/>
            <c:spPr>
              <a:ln w="15875" cap="rnd">
                <a:solidFill>
                  <a:schemeClr val="accent4"/>
                </a:solidFill>
                <a:round/>
              </a:ln>
              <a:effectLst/>
            </c:spPr>
            <c:extLst>
              <c:ext xmlns:c16="http://schemas.microsoft.com/office/drawing/2014/chart" uri="{C3380CC4-5D6E-409C-BE32-E72D297353CC}">
                <c16:uniqueId val="{00000000-6C20-4615-83CB-260B36AD9842}"/>
              </c:ext>
            </c:extLst>
          </c:dPt>
          <c:dPt>
            <c:idx val="1"/>
            <c:marker>
              <c:symbol val="circle"/>
              <c:size val="5"/>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marker>
            <c:bubble3D val="0"/>
            <c:spPr>
              <a:ln w="15875" cap="rnd">
                <a:solidFill>
                  <a:schemeClr val="accent4"/>
                </a:solidFill>
                <a:round/>
              </a:ln>
              <a:effectLst/>
            </c:spPr>
            <c:extLst>
              <c:ext xmlns:c16="http://schemas.microsoft.com/office/drawing/2014/chart" uri="{C3380CC4-5D6E-409C-BE32-E72D297353CC}">
                <c16:uniqueId val="{00000001-6C20-4615-83CB-260B36AD9842}"/>
              </c:ext>
            </c:extLst>
          </c:dPt>
          <c:dPt>
            <c:idx val="2"/>
            <c:marker>
              <c:symbol val="circle"/>
              <c:size val="5"/>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marker>
            <c:bubble3D val="0"/>
            <c:spPr>
              <a:ln w="15875" cap="rnd">
                <a:solidFill>
                  <a:schemeClr val="accent4"/>
                </a:solidFill>
                <a:round/>
              </a:ln>
              <a:effectLst/>
            </c:spPr>
            <c:extLst>
              <c:ext xmlns:c16="http://schemas.microsoft.com/office/drawing/2014/chart" uri="{C3380CC4-5D6E-409C-BE32-E72D297353CC}">
                <c16:uniqueId val="{00000002-6C20-4615-83CB-260B36AD9842}"/>
              </c:ext>
            </c:extLst>
          </c:dPt>
          <c:dPt>
            <c:idx val="3"/>
            <c:marker>
              <c:symbol val="circle"/>
              <c:size val="5"/>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marker>
            <c:bubble3D val="0"/>
            <c:spPr>
              <a:ln w="15875" cap="rnd">
                <a:solidFill>
                  <a:schemeClr val="accent4"/>
                </a:solidFill>
                <a:round/>
              </a:ln>
              <a:effectLst/>
            </c:spPr>
            <c:extLst>
              <c:ext xmlns:c16="http://schemas.microsoft.com/office/drawing/2014/chart" uri="{C3380CC4-5D6E-409C-BE32-E72D297353CC}">
                <c16:uniqueId val="{00000003-6C20-4615-83CB-260B36AD9842}"/>
              </c:ext>
            </c:extLst>
          </c:dPt>
          <c:dPt>
            <c:idx val="4"/>
            <c:marker>
              <c:symbol val="circle"/>
              <c:size val="5"/>
              <c:spPr>
                <a:gradFill rotWithShape="1">
                  <a:gsLst>
                    <a:gs pos="0">
                      <a:schemeClr val="accent6">
                        <a:tint val="77000"/>
                        <a:lumMod val="110000"/>
                        <a:satMod val="105000"/>
                        <a:tint val="67000"/>
                      </a:schemeClr>
                    </a:gs>
                    <a:gs pos="50000">
                      <a:schemeClr val="accent6">
                        <a:tint val="77000"/>
                        <a:lumMod val="105000"/>
                        <a:satMod val="103000"/>
                        <a:tint val="73000"/>
                      </a:schemeClr>
                    </a:gs>
                    <a:gs pos="100000">
                      <a:schemeClr val="accent6">
                        <a:tint val="77000"/>
                        <a:lumMod val="105000"/>
                        <a:satMod val="109000"/>
                        <a:tint val="81000"/>
                      </a:schemeClr>
                    </a:gs>
                  </a:gsLst>
                  <a:lin ang="5400000" scaled="0"/>
                </a:gradFill>
                <a:ln w="9525" cap="flat" cmpd="sng" algn="ctr">
                  <a:solidFill>
                    <a:schemeClr val="accent6">
                      <a:tint val="77000"/>
                      <a:shade val="95000"/>
                    </a:schemeClr>
                  </a:solidFill>
                  <a:round/>
                </a:ln>
                <a:effectLst/>
              </c:spPr>
            </c:marker>
            <c:bubble3D val="0"/>
            <c:spPr>
              <a:ln w="15875" cap="rnd">
                <a:solidFill>
                  <a:schemeClr val="accent4"/>
                </a:solidFill>
                <a:round/>
              </a:ln>
              <a:effectLst/>
            </c:spPr>
            <c:extLst>
              <c:ext xmlns:c16="http://schemas.microsoft.com/office/drawing/2014/chart" uri="{C3380CC4-5D6E-409C-BE32-E72D297353CC}">
                <c16:uniqueId val="{00000000-E01C-4242-AF1F-53C3B0C3A8A2}"/>
              </c:ext>
            </c:extLst>
          </c:dPt>
          <c:dLbls>
            <c:dLbl>
              <c:idx val="1"/>
              <c:layout>
                <c:manualLayout>
                  <c:x val="-4.2186733238204203E-2"/>
                  <c:y val="-6.49906380174415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20-4615-83CB-260B36AD9842}"/>
                </c:ext>
              </c:extLst>
            </c:dLbl>
            <c:dLbl>
              <c:idx val="2"/>
              <c:layout>
                <c:manualLayout>
                  <c:x val="-3.6727836996257236E-2"/>
                  <c:y val="-0.121541020177799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20-4615-83CB-260B36AD9842}"/>
                </c:ext>
              </c:extLst>
            </c:dLbl>
            <c:dLbl>
              <c:idx val="3"/>
              <c:layout>
                <c:manualLayout>
                  <c:x val="-3.6727836996257236E-2"/>
                  <c:y val="-0.132851096609871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20-4615-83CB-260B36AD9842}"/>
                </c:ext>
              </c:extLst>
            </c:dLbl>
            <c:dLbl>
              <c:idx val="4"/>
              <c:layout>
                <c:manualLayout>
                  <c:x val="-3.6727836996257236E-2"/>
                  <c:y val="-7.06456762334774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1C-4242-AF1F-53C3B0C3A8A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Sheet6!$A$4:$A$9</c:f>
              <c:strCache>
                <c:ptCount val="5"/>
                <c:pt idx="0">
                  <c:v>Acer Aspire 3</c:v>
                </c:pt>
                <c:pt idx="1">
                  <c:v>Dell Inspiron 15</c:v>
                </c:pt>
                <c:pt idx="2">
                  <c:v>Lenovo IdeaPad Slim 3i</c:v>
                </c:pt>
                <c:pt idx="3">
                  <c:v>Mi NoteBook Ultra</c:v>
                </c:pt>
                <c:pt idx="4">
                  <c:v>Samsung Galaxy Go</c:v>
                </c:pt>
              </c:strCache>
            </c:strRef>
          </c:cat>
          <c:val>
            <c:numRef>
              <c:f>Sheet6!$B$4:$B$9</c:f>
              <c:numCache>
                <c:formatCode>General</c:formatCode>
                <c:ptCount val="5"/>
                <c:pt idx="0">
                  <c:v>932</c:v>
                </c:pt>
                <c:pt idx="1">
                  <c:v>1078</c:v>
                </c:pt>
                <c:pt idx="2">
                  <c:v>435</c:v>
                </c:pt>
                <c:pt idx="3">
                  <c:v>734</c:v>
                </c:pt>
                <c:pt idx="4">
                  <c:v>583</c:v>
                </c:pt>
              </c:numCache>
            </c:numRef>
          </c:val>
          <c:smooth val="0"/>
          <c:extLst>
            <c:ext xmlns:c16="http://schemas.microsoft.com/office/drawing/2014/chart" uri="{C3380CC4-5D6E-409C-BE32-E72D297353CC}">
              <c16:uniqueId val="{00000001-0AAA-427C-B90C-D43FC8175920}"/>
            </c:ext>
          </c:extLst>
        </c:ser>
        <c:dLbls>
          <c:showLegendKey val="0"/>
          <c:showVal val="1"/>
          <c:showCatName val="0"/>
          <c:showSerName val="0"/>
          <c:showPercent val="0"/>
          <c:showBubbleSize val="0"/>
        </c:dLbls>
        <c:marker val="1"/>
        <c:smooth val="0"/>
        <c:axId val="422948320"/>
        <c:axId val="422951648"/>
      </c:lineChart>
      <c:catAx>
        <c:axId val="32885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328849520"/>
        <c:crosses val="autoZero"/>
        <c:auto val="1"/>
        <c:lblAlgn val="ctr"/>
        <c:lblOffset val="100"/>
        <c:noMultiLvlLbl val="0"/>
      </c:catAx>
      <c:valAx>
        <c:axId val="32884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65000"/>
                      <a:lumOff val="35000"/>
                      <a:alpha val="70000"/>
                    </a:schemeClr>
                  </a:solidFill>
                </a:ln>
                <a:solidFill>
                  <a:schemeClr val="tx1">
                    <a:lumMod val="50000"/>
                    <a:lumOff val="50000"/>
                  </a:schemeClr>
                </a:solidFill>
                <a:latin typeface="+mn-lt"/>
                <a:ea typeface="+mn-ea"/>
                <a:cs typeface="+mn-cs"/>
              </a:defRPr>
            </a:pPr>
            <a:endParaRPr lang="en-US"/>
          </a:p>
        </c:txPr>
        <c:crossAx val="328850768"/>
        <c:crosses val="autoZero"/>
        <c:crossBetween val="between"/>
      </c:valAx>
      <c:valAx>
        <c:axId val="42295164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422948320"/>
        <c:crosses val="max"/>
        <c:crossBetween val="between"/>
      </c:valAx>
      <c:catAx>
        <c:axId val="422948320"/>
        <c:scaling>
          <c:orientation val="minMax"/>
        </c:scaling>
        <c:delete val="1"/>
        <c:axPos val="t"/>
        <c:numFmt formatCode="General" sourceLinked="1"/>
        <c:majorTickMark val="none"/>
        <c:minorTickMark val="none"/>
        <c:tickLblPos val="nextTo"/>
        <c:crossAx val="422951648"/>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50800" cap="flat" cmpd="tri" algn="ctr">
      <a:solidFill>
        <a:schemeClr val="accent6">
          <a:lumMod val="75000"/>
        </a:schemeClr>
      </a:solidFill>
      <a:round/>
    </a:ln>
    <a:effectLst>
      <a:outerShdw blurRad="50800" dist="38100" dir="2700000" algn="tl" rotWithShape="0">
        <a:prstClr val="black">
          <a:alpha val="40000"/>
        </a:prstClr>
      </a:outerShdw>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514350</xdr:colOff>
      <xdr:row>2</xdr:row>
      <xdr:rowOff>92075</xdr:rowOff>
    </xdr:from>
    <xdr:to>
      <xdr:col>9</xdr:col>
      <xdr:colOff>400050</xdr:colOff>
      <xdr:row>17</xdr:row>
      <xdr:rowOff>73025</xdr:rowOff>
    </xdr:to>
    <xdr:graphicFrame macro="">
      <xdr:nvGraphicFramePr>
        <xdr:cNvPr id="4" name="Chart 3">
          <a:extLst>
            <a:ext uri="{FF2B5EF4-FFF2-40B4-BE49-F238E27FC236}">
              <a16:creationId xmlns:a16="http://schemas.microsoft.com/office/drawing/2014/main" id="{455A62BB-A2BD-DD46-88BD-DD72915B35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539750</xdr:colOff>
      <xdr:row>1</xdr:row>
      <xdr:rowOff>174625</xdr:rowOff>
    </xdr:from>
    <xdr:to>
      <xdr:col>10</xdr:col>
      <xdr:colOff>234950</xdr:colOff>
      <xdr:row>16</xdr:row>
      <xdr:rowOff>155575</xdr:rowOff>
    </xdr:to>
    <xdr:graphicFrame macro="">
      <xdr:nvGraphicFramePr>
        <xdr:cNvPr id="3" name="Chart 2">
          <a:extLst>
            <a:ext uri="{FF2B5EF4-FFF2-40B4-BE49-F238E27FC236}">
              <a16:creationId xmlns:a16="http://schemas.microsoft.com/office/drawing/2014/main" id="{7094064A-CD40-09E9-1AB3-128DFD25A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298450</xdr:colOff>
      <xdr:row>2</xdr:row>
      <xdr:rowOff>98425</xdr:rowOff>
    </xdr:from>
    <xdr:to>
      <xdr:col>9</xdr:col>
      <xdr:colOff>603250</xdr:colOff>
      <xdr:row>17</xdr:row>
      <xdr:rowOff>79375</xdr:rowOff>
    </xdr:to>
    <xdr:graphicFrame macro="">
      <xdr:nvGraphicFramePr>
        <xdr:cNvPr id="3" name="Chart 2">
          <a:extLst>
            <a:ext uri="{FF2B5EF4-FFF2-40B4-BE49-F238E27FC236}">
              <a16:creationId xmlns:a16="http://schemas.microsoft.com/office/drawing/2014/main" id="{11D2AE3C-E286-2E2D-2146-33DF9B134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292100</xdr:colOff>
      <xdr:row>2</xdr:row>
      <xdr:rowOff>9525</xdr:rowOff>
    </xdr:from>
    <xdr:to>
      <xdr:col>9</xdr:col>
      <xdr:colOff>596900</xdr:colOff>
      <xdr:row>16</xdr:row>
      <xdr:rowOff>174625</xdr:rowOff>
    </xdr:to>
    <xdr:graphicFrame macro="">
      <xdr:nvGraphicFramePr>
        <xdr:cNvPr id="2" name="Chart 1">
          <a:extLst>
            <a:ext uri="{FF2B5EF4-FFF2-40B4-BE49-F238E27FC236}">
              <a16:creationId xmlns:a16="http://schemas.microsoft.com/office/drawing/2014/main" id="{5E6E5272-2D5E-F0E8-5ADA-32F35C821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260350</xdr:colOff>
      <xdr:row>1</xdr:row>
      <xdr:rowOff>123825</xdr:rowOff>
    </xdr:from>
    <xdr:to>
      <xdr:col>9</xdr:col>
      <xdr:colOff>565150</xdr:colOff>
      <xdr:row>16</xdr:row>
      <xdr:rowOff>104775</xdr:rowOff>
    </xdr:to>
    <xdr:graphicFrame macro="">
      <xdr:nvGraphicFramePr>
        <xdr:cNvPr id="3" name="Chart 2">
          <a:extLst>
            <a:ext uri="{FF2B5EF4-FFF2-40B4-BE49-F238E27FC236}">
              <a16:creationId xmlns:a16="http://schemas.microsoft.com/office/drawing/2014/main" id="{A0C037E8-D1AB-85F1-8CF3-322B31639B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165100</xdr:colOff>
      <xdr:row>1</xdr:row>
      <xdr:rowOff>69851</xdr:rowOff>
    </xdr:from>
    <xdr:to>
      <xdr:col>8</xdr:col>
      <xdr:colOff>628650</xdr:colOff>
      <xdr:row>16</xdr:row>
      <xdr:rowOff>19051</xdr:rowOff>
    </xdr:to>
    <xdr:graphicFrame macro="">
      <xdr:nvGraphicFramePr>
        <xdr:cNvPr id="3" name="Chart 2">
          <a:extLst>
            <a:ext uri="{FF2B5EF4-FFF2-40B4-BE49-F238E27FC236}">
              <a16:creationId xmlns:a16="http://schemas.microsoft.com/office/drawing/2014/main" id="{E2A525FB-9DFD-F4C4-3AA1-D8885733C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787400</xdr:colOff>
      <xdr:row>9</xdr:row>
      <xdr:rowOff>139701</xdr:rowOff>
    </xdr:from>
    <xdr:to>
      <xdr:col>11</xdr:col>
      <xdr:colOff>139700</xdr:colOff>
      <xdr:row>14</xdr:row>
      <xdr:rowOff>1</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7F68E295-461D-EDDA-340B-50BCF0C23F6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407400" y="1797051"/>
              <a:ext cx="1828800" cy="781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781050</xdr:colOff>
      <xdr:row>1</xdr:row>
      <xdr:rowOff>12701</xdr:rowOff>
    </xdr:from>
    <xdr:to>
      <xdr:col>11</xdr:col>
      <xdr:colOff>215900</xdr:colOff>
      <xdr:row>9</xdr:row>
      <xdr:rowOff>88900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8BE60C26-E756-7E06-649D-A6A277D396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01050" y="196851"/>
              <a:ext cx="1911350" cy="1549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412750</xdr:colOff>
      <xdr:row>14</xdr:row>
      <xdr:rowOff>120650</xdr:rowOff>
    </xdr:from>
    <xdr:to>
      <xdr:col>12</xdr:col>
      <xdr:colOff>444500</xdr:colOff>
      <xdr:row>19</xdr:row>
      <xdr:rowOff>127000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B6CA083A-0430-9A93-15A0-8B9D23B9DF1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032750" y="2698750"/>
              <a:ext cx="3333750" cy="927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143933</xdr:colOff>
      <xdr:row>0</xdr:row>
      <xdr:rowOff>118533</xdr:rowOff>
    </xdr:from>
    <xdr:to>
      <xdr:col>25</xdr:col>
      <xdr:colOff>328084</xdr:colOff>
      <xdr:row>4</xdr:row>
      <xdr:rowOff>25400</xdr:rowOff>
    </xdr:to>
    <xdr:sp macro="" textlink="">
      <xdr:nvSpPr>
        <xdr:cNvPr id="6" name="Rectangle: Rounded Corners 5">
          <a:extLst>
            <a:ext uri="{FF2B5EF4-FFF2-40B4-BE49-F238E27FC236}">
              <a16:creationId xmlns:a16="http://schemas.microsoft.com/office/drawing/2014/main" id="{E42A514B-BD77-7EA9-8BE1-7FC4A8AC93C9}"/>
            </a:ext>
          </a:extLst>
        </xdr:cNvPr>
        <xdr:cNvSpPr/>
      </xdr:nvSpPr>
      <xdr:spPr>
        <a:xfrm>
          <a:off x="143933" y="118533"/>
          <a:ext cx="15529984" cy="626534"/>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bg1"/>
              </a:solidFill>
              <a:latin typeface="Algerian" panose="04020705040A02060702" pitchFamily="82" charset="0"/>
            </a:rPr>
            <a:t>SALES</a:t>
          </a:r>
          <a:r>
            <a:rPr lang="en-US" sz="2400" b="1" baseline="0">
              <a:solidFill>
                <a:schemeClr val="bg1"/>
              </a:solidFill>
              <a:latin typeface="Algerian" panose="04020705040A02060702" pitchFamily="82" charset="0"/>
            </a:rPr>
            <a:t> REPORT</a:t>
          </a:r>
          <a:endParaRPr lang="en-US" sz="2400" b="1">
            <a:solidFill>
              <a:schemeClr val="bg1"/>
            </a:solidFill>
            <a:latin typeface="Algerian" panose="04020705040A02060702" pitchFamily="82" charset="0"/>
          </a:endParaRPr>
        </a:p>
      </xdr:txBody>
    </xdr:sp>
    <xdr:clientData/>
  </xdr:twoCellAnchor>
  <xdr:twoCellAnchor editAs="oneCell">
    <xdr:from>
      <xdr:col>14</xdr:col>
      <xdr:colOff>391582</xdr:colOff>
      <xdr:row>4</xdr:row>
      <xdr:rowOff>137582</xdr:rowOff>
    </xdr:from>
    <xdr:to>
      <xdr:col>17</xdr:col>
      <xdr:colOff>474132</xdr:colOff>
      <xdr:row>9</xdr:row>
      <xdr:rowOff>105832</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26FEB8F4-54C3-4A17-A9A2-183DC3CD570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985249" y="857249"/>
              <a:ext cx="1924050" cy="867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582085</xdr:colOff>
      <xdr:row>4</xdr:row>
      <xdr:rowOff>103715</xdr:rowOff>
    </xdr:from>
    <xdr:to>
      <xdr:col>25</xdr:col>
      <xdr:colOff>317500</xdr:colOff>
      <xdr:row>9</xdr:row>
      <xdr:rowOff>86782</xdr:rowOff>
    </xdr:to>
    <mc:AlternateContent xmlns:mc="http://schemas.openxmlformats.org/markup-compatibility/2006" xmlns:tsle="http://schemas.microsoft.com/office/drawing/2012/timeslicer">
      <mc:Choice Requires="tsle">
        <xdr:graphicFrame macro="">
          <xdr:nvGraphicFramePr>
            <xdr:cNvPr id="9" name="Order Date 1">
              <a:extLst>
                <a:ext uri="{FF2B5EF4-FFF2-40B4-BE49-F238E27FC236}">
                  <a16:creationId xmlns:a16="http://schemas.microsoft.com/office/drawing/2014/main" id="{BD4BC6CF-B5B0-48B5-AC62-68A9DE18342D}"/>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017252" y="823382"/>
              <a:ext cx="4646081" cy="8826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305647</xdr:colOff>
      <xdr:row>4</xdr:row>
      <xdr:rowOff>119380</xdr:rowOff>
    </xdr:from>
    <xdr:to>
      <xdr:col>3</xdr:col>
      <xdr:colOff>520700</xdr:colOff>
      <xdr:row>9</xdr:row>
      <xdr:rowOff>38100</xdr:rowOff>
    </xdr:to>
    <xdr:sp macro="" textlink="">
      <xdr:nvSpPr>
        <xdr:cNvPr id="10" name="Rectangle: Rounded Corners 9">
          <a:extLst>
            <a:ext uri="{FF2B5EF4-FFF2-40B4-BE49-F238E27FC236}">
              <a16:creationId xmlns:a16="http://schemas.microsoft.com/office/drawing/2014/main" id="{6D02C8C2-9C87-9914-1D07-931AB177C14A}"/>
            </a:ext>
          </a:extLst>
        </xdr:cNvPr>
        <xdr:cNvSpPr/>
      </xdr:nvSpPr>
      <xdr:spPr>
        <a:xfrm>
          <a:off x="305647" y="839047"/>
          <a:ext cx="2056553" cy="818303"/>
        </a:xfrm>
        <a:prstGeom prst="roundRect">
          <a:avLst>
            <a:gd name="adj" fmla="val 17960"/>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47415</xdr:colOff>
      <xdr:row>4</xdr:row>
      <xdr:rowOff>132078</xdr:rowOff>
    </xdr:from>
    <xdr:to>
      <xdr:col>7</xdr:col>
      <xdr:colOff>262468</xdr:colOff>
      <xdr:row>9</xdr:row>
      <xdr:rowOff>59264</xdr:rowOff>
    </xdr:to>
    <xdr:sp macro="" textlink="">
      <xdr:nvSpPr>
        <xdr:cNvPr id="11" name="Rectangle: Rounded Corners 10">
          <a:extLst>
            <a:ext uri="{FF2B5EF4-FFF2-40B4-BE49-F238E27FC236}">
              <a16:creationId xmlns:a16="http://schemas.microsoft.com/office/drawing/2014/main" id="{EDC03EFB-034C-943F-0D74-2A073D3AC0D4}"/>
            </a:ext>
          </a:extLst>
        </xdr:cNvPr>
        <xdr:cNvSpPr/>
      </xdr:nvSpPr>
      <xdr:spPr>
        <a:xfrm>
          <a:off x="2485815" y="877145"/>
          <a:ext cx="2043853" cy="858519"/>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352215</xdr:colOff>
      <xdr:row>4</xdr:row>
      <xdr:rowOff>149014</xdr:rowOff>
    </xdr:from>
    <xdr:to>
      <xdr:col>10</xdr:col>
      <xdr:colOff>567268</xdr:colOff>
      <xdr:row>9</xdr:row>
      <xdr:rowOff>84667</xdr:rowOff>
    </xdr:to>
    <xdr:sp macro="" textlink="">
      <xdr:nvSpPr>
        <xdr:cNvPr id="12" name="Rectangle: Rounded Corners 11">
          <a:extLst>
            <a:ext uri="{FF2B5EF4-FFF2-40B4-BE49-F238E27FC236}">
              <a16:creationId xmlns:a16="http://schemas.microsoft.com/office/drawing/2014/main" id="{02F8F4F6-A8FD-7F15-173F-3E568913BAE7}"/>
            </a:ext>
          </a:extLst>
        </xdr:cNvPr>
        <xdr:cNvSpPr/>
      </xdr:nvSpPr>
      <xdr:spPr>
        <a:xfrm>
          <a:off x="4619415" y="894081"/>
          <a:ext cx="2043853" cy="866986"/>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345016</xdr:colOff>
      <xdr:row>6</xdr:row>
      <xdr:rowOff>82550</xdr:rowOff>
    </xdr:from>
    <xdr:to>
      <xdr:col>3</xdr:col>
      <xdr:colOff>319616</xdr:colOff>
      <xdr:row>8</xdr:row>
      <xdr:rowOff>141817</xdr:rowOff>
    </xdr:to>
    <xdr:sp macro="" textlink="Sheet10!B4">
      <xdr:nvSpPr>
        <xdr:cNvPr id="14" name="TextBox 13">
          <a:extLst>
            <a:ext uri="{FF2B5EF4-FFF2-40B4-BE49-F238E27FC236}">
              <a16:creationId xmlns:a16="http://schemas.microsoft.com/office/drawing/2014/main" id="{228496D0-F889-9C49-B9C2-00AEEFDBD8CF}"/>
            </a:ext>
          </a:extLst>
        </xdr:cNvPr>
        <xdr:cNvSpPr txBox="1"/>
      </xdr:nvSpPr>
      <xdr:spPr>
        <a:xfrm>
          <a:off x="345016" y="1162050"/>
          <a:ext cx="1816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C71C58A-ADD1-4B08-9A28-E4B8E8ACC03A}" type="TxLink">
            <a:rPr lang="en-US" sz="2000" b="1" i="0" u="none" strike="noStrike">
              <a:solidFill>
                <a:srgbClr val="000000"/>
              </a:solidFill>
              <a:latin typeface="Bodoni MT" panose="02070603080606020203" pitchFamily="18" charset="0"/>
              <a:ea typeface="Calibri"/>
              <a:cs typeface="Calibri"/>
            </a:rPr>
            <a:pPr algn="ctr"/>
            <a:t> ₹ 3,762 </a:t>
          </a:fld>
          <a:endParaRPr lang="en-US" sz="2000" b="1">
            <a:latin typeface="Bodoni MT" panose="02070603080606020203" pitchFamily="18" charset="0"/>
          </a:endParaRPr>
        </a:p>
      </xdr:txBody>
    </xdr:sp>
    <xdr:clientData/>
  </xdr:twoCellAnchor>
  <xdr:twoCellAnchor>
    <xdr:from>
      <xdr:col>4</xdr:col>
      <xdr:colOff>127000</xdr:colOff>
      <xdr:row>6</xdr:row>
      <xdr:rowOff>110067</xdr:rowOff>
    </xdr:from>
    <xdr:to>
      <xdr:col>7</xdr:col>
      <xdr:colOff>93133</xdr:colOff>
      <xdr:row>8</xdr:row>
      <xdr:rowOff>143933</xdr:rowOff>
    </xdr:to>
    <xdr:sp macro="" textlink="Sheet10!E4">
      <xdr:nvSpPr>
        <xdr:cNvPr id="17" name="TextBox 16">
          <a:extLst>
            <a:ext uri="{FF2B5EF4-FFF2-40B4-BE49-F238E27FC236}">
              <a16:creationId xmlns:a16="http://schemas.microsoft.com/office/drawing/2014/main" id="{3525EDF5-1F88-D0FB-9F9B-E87D2CA8F235}"/>
            </a:ext>
          </a:extLst>
        </xdr:cNvPr>
        <xdr:cNvSpPr txBox="1"/>
      </xdr:nvSpPr>
      <xdr:spPr>
        <a:xfrm>
          <a:off x="2565400" y="1227667"/>
          <a:ext cx="1794933" cy="406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3F906BD-5ED3-43EE-98DC-A071DEA23189}" type="TxLink">
            <a:rPr lang="en-US" sz="2000" b="1" i="0" u="none" strike="noStrike">
              <a:solidFill>
                <a:srgbClr val="000000"/>
              </a:solidFill>
              <a:latin typeface="Bodoni MT" panose="02070603080606020203" pitchFamily="18" charset="0"/>
              <a:ea typeface="Calibri"/>
              <a:cs typeface="Calibri"/>
            </a:rPr>
            <a:pPr marL="0" indent="0" algn="ctr"/>
            <a:t>700</a:t>
          </a:fld>
          <a:endParaRPr lang="en-US" sz="2000" b="1" i="0" u="none" strike="noStrike">
            <a:solidFill>
              <a:srgbClr val="000000"/>
            </a:solidFill>
            <a:latin typeface="Bodoni MT" panose="02070603080606020203" pitchFamily="18" charset="0"/>
            <a:ea typeface="Calibri"/>
            <a:cs typeface="Calibri"/>
          </a:endParaRPr>
        </a:p>
      </xdr:txBody>
    </xdr:sp>
    <xdr:clientData/>
  </xdr:twoCellAnchor>
  <xdr:twoCellAnchor>
    <xdr:from>
      <xdr:col>7</xdr:col>
      <xdr:colOff>541867</xdr:colOff>
      <xdr:row>6</xdr:row>
      <xdr:rowOff>101599</xdr:rowOff>
    </xdr:from>
    <xdr:to>
      <xdr:col>10</xdr:col>
      <xdr:colOff>474133</xdr:colOff>
      <xdr:row>8</xdr:row>
      <xdr:rowOff>126999</xdr:rowOff>
    </xdr:to>
    <xdr:sp macro="" textlink="">
      <xdr:nvSpPr>
        <xdr:cNvPr id="18" name="TextBox 17">
          <a:extLst>
            <a:ext uri="{FF2B5EF4-FFF2-40B4-BE49-F238E27FC236}">
              <a16:creationId xmlns:a16="http://schemas.microsoft.com/office/drawing/2014/main" id="{68841726-AC47-BF7B-FFB9-B96457FFAEE2}"/>
            </a:ext>
          </a:extLst>
        </xdr:cNvPr>
        <xdr:cNvSpPr txBox="1"/>
      </xdr:nvSpPr>
      <xdr:spPr>
        <a:xfrm>
          <a:off x="4809067" y="1219199"/>
          <a:ext cx="1761066" cy="397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000" b="1" i="0" u="none" strike="noStrike">
              <a:solidFill>
                <a:srgbClr val="000000"/>
              </a:solidFill>
              <a:latin typeface="Bodoni MT" panose="02070603080606020203" pitchFamily="18" charset="0"/>
              <a:ea typeface="Calibri"/>
              <a:cs typeface="Calibri"/>
            </a:rPr>
            <a:t>GUJARAT</a:t>
          </a:r>
        </a:p>
      </xdr:txBody>
    </xdr:sp>
    <xdr:clientData/>
  </xdr:twoCellAnchor>
  <xdr:twoCellAnchor>
    <xdr:from>
      <xdr:col>0</xdr:col>
      <xdr:colOff>461433</xdr:colOff>
      <xdr:row>4</xdr:row>
      <xdr:rowOff>169333</xdr:rowOff>
    </xdr:from>
    <xdr:to>
      <xdr:col>3</xdr:col>
      <xdr:colOff>436033</xdr:colOff>
      <xdr:row>6</xdr:row>
      <xdr:rowOff>74083</xdr:rowOff>
    </xdr:to>
    <xdr:sp macro="" textlink="">
      <xdr:nvSpPr>
        <xdr:cNvPr id="19" name="TextBox 18">
          <a:extLst>
            <a:ext uri="{FF2B5EF4-FFF2-40B4-BE49-F238E27FC236}">
              <a16:creationId xmlns:a16="http://schemas.microsoft.com/office/drawing/2014/main" id="{34D89B24-5FC1-57B8-FB0F-DBD558211806}"/>
            </a:ext>
          </a:extLst>
        </xdr:cNvPr>
        <xdr:cNvSpPr txBox="1"/>
      </xdr:nvSpPr>
      <xdr:spPr>
        <a:xfrm>
          <a:off x="461433" y="889000"/>
          <a:ext cx="1816100" cy="26458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cap="none" spc="0">
              <a:ln w="0"/>
              <a:solidFill>
                <a:sysClr val="windowText" lastClr="000000"/>
              </a:solidFill>
              <a:effectLst>
                <a:outerShdw blurRad="50800" dist="38100" dir="2700000" algn="tl" rotWithShape="0">
                  <a:prstClr val="black">
                    <a:alpha val="40000"/>
                  </a:prstClr>
                </a:outerShdw>
              </a:effectLst>
              <a:latin typeface="Bodoni MT" panose="02070603080606020203" pitchFamily="18" charset="0"/>
            </a:rPr>
            <a:t>SUM OF UNIT SOLD</a:t>
          </a:r>
        </a:p>
      </xdr:txBody>
    </xdr:sp>
    <xdr:clientData/>
  </xdr:twoCellAnchor>
  <xdr:twoCellAnchor>
    <xdr:from>
      <xdr:col>4</xdr:col>
      <xdr:colOff>135467</xdr:colOff>
      <xdr:row>5</xdr:row>
      <xdr:rowOff>0</xdr:rowOff>
    </xdr:from>
    <xdr:to>
      <xdr:col>7</xdr:col>
      <xdr:colOff>194733</xdr:colOff>
      <xdr:row>6</xdr:row>
      <xdr:rowOff>93133</xdr:rowOff>
    </xdr:to>
    <xdr:sp macro="" textlink="">
      <xdr:nvSpPr>
        <xdr:cNvPr id="20" name="TextBox 19">
          <a:extLst>
            <a:ext uri="{FF2B5EF4-FFF2-40B4-BE49-F238E27FC236}">
              <a16:creationId xmlns:a16="http://schemas.microsoft.com/office/drawing/2014/main" id="{9AF02F41-D599-3CF9-D7E2-15B38B473346}"/>
            </a:ext>
          </a:extLst>
        </xdr:cNvPr>
        <xdr:cNvSpPr txBox="1"/>
      </xdr:nvSpPr>
      <xdr:spPr>
        <a:xfrm>
          <a:off x="2573867" y="931333"/>
          <a:ext cx="1888066" cy="279400"/>
        </a:xfrm>
        <a:prstGeom prst="rect">
          <a:avLst/>
        </a:prstGeom>
        <a:no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200" b="0" cap="none" spc="0">
              <a:ln w="0"/>
              <a:solidFill>
                <a:schemeClr val="tx1"/>
              </a:solidFill>
              <a:effectLst>
                <a:outerShdw blurRad="38100" dist="19050" dir="2700000" algn="tl" rotWithShape="0">
                  <a:schemeClr val="dk1">
                    <a:alpha val="40000"/>
                  </a:schemeClr>
                </a:outerShdw>
              </a:effectLst>
              <a:latin typeface="Bodoni MT" panose="02070603080606020203" pitchFamily="18" charset="0"/>
              <a:ea typeface="+mn-ea"/>
              <a:cs typeface="+mn-cs"/>
            </a:rPr>
            <a:t>TOTAL</a:t>
          </a:r>
          <a:r>
            <a:rPr lang="en-US" sz="1200" b="0" cap="none" spc="0" baseline="0">
              <a:ln w="0"/>
              <a:solidFill>
                <a:schemeClr val="tx1"/>
              </a:solidFill>
              <a:effectLst>
                <a:outerShdw blurRad="38100" dist="19050" dir="2700000" algn="tl" rotWithShape="0">
                  <a:schemeClr val="dk1">
                    <a:alpha val="40000"/>
                  </a:schemeClr>
                </a:outerShdw>
              </a:effectLst>
              <a:latin typeface="Bodoni MT" panose="02070603080606020203" pitchFamily="18" charset="0"/>
              <a:ea typeface="+mn-ea"/>
              <a:cs typeface="+mn-cs"/>
            </a:rPr>
            <a:t> ORDERS</a:t>
          </a:r>
          <a:endParaRPr lang="en-US" sz="1200" b="0" cap="none" spc="0">
            <a:ln w="0"/>
            <a:solidFill>
              <a:schemeClr val="tx1"/>
            </a:solidFill>
            <a:effectLst>
              <a:outerShdw blurRad="38100" dist="19050" dir="2700000" algn="tl" rotWithShape="0">
                <a:schemeClr val="dk1">
                  <a:alpha val="40000"/>
                </a:schemeClr>
              </a:outerShdw>
            </a:effectLst>
            <a:latin typeface="Bodoni MT" panose="02070603080606020203" pitchFamily="18" charset="0"/>
            <a:ea typeface="+mn-ea"/>
            <a:cs typeface="+mn-cs"/>
          </a:endParaRPr>
        </a:p>
      </xdr:txBody>
    </xdr:sp>
    <xdr:clientData/>
  </xdr:twoCellAnchor>
  <xdr:twoCellAnchor>
    <xdr:from>
      <xdr:col>7</xdr:col>
      <xdr:colOff>474133</xdr:colOff>
      <xdr:row>4</xdr:row>
      <xdr:rowOff>177800</xdr:rowOff>
    </xdr:from>
    <xdr:to>
      <xdr:col>10</xdr:col>
      <xdr:colOff>465667</xdr:colOff>
      <xdr:row>6</xdr:row>
      <xdr:rowOff>93133</xdr:rowOff>
    </xdr:to>
    <xdr:sp macro="" textlink="">
      <xdr:nvSpPr>
        <xdr:cNvPr id="21" name="TextBox 20">
          <a:extLst>
            <a:ext uri="{FF2B5EF4-FFF2-40B4-BE49-F238E27FC236}">
              <a16:creationId xmlns:a16="http://schemas.microsoft.com/office/drawing/2014/main" id="{4A3C52F5-8C38-FA61-C6A6-DA00A1CFA8A1}"/>
            </a:ext>
          </a:extLst>
        </xdr:cNvPr>
        <xdr:cNvSpPr txBox="1"/>
      </xdr:nvSpPr>
      <xdr:spPr>
        <a:xfrm>
          <a:off x="4741333" y="922867"/>
          <a:ext cx="1820334" cy="2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latin typeface="Bodoni MT" panose="02070603080606020203" pitchFamily="18" charset="0"/>
              <a:ea typeface="+mn-ea"/>
              <a:cs typeface="+mn-cs"/>
            </a:rPr>
            <a:t>TOP</a:t>
          </a:r>
          <a:r>
            <a:rPr lang="en-US" sz="1200" b="1" baseline="0">
              <a:solidFill>
                <a:schemeClr val="tx1"/>
              </a:solidFill>
              <a:latin typeface="Bodoni MT" panose="02070603080606020203" pitchFamily="18" charset="0"/>
              <a:ea typeface="+mn-ea"/>
              <a:cs typeface="+mn-cs"/>
            </a:rPr>
            <a:t> STATES</a:t>
          </a:r>
          <a:endParaRPr lang="en-US" sz="1200" b="1">
            <a:solidFill>
              <a:schemeClr val="tx1"/>
            </a:solidFill>
            <a:latin typeface="Bodoni MT" panose="02070603080606020203" pitchFamily="18" charset="0"/>
            <a:ea typeface="+mn-ea"/>
            <a:cs typeface="+mn-cs"/>
          </a:endParaRPr>
        </a:p>
      </xdr:txBody>
    </xdr:sp>
    <xdr:clientData/>
  </xdr:twoCellAnchor>
  <xdr:twoCellAnchor>
    <xdr:from>
      <xdr:col>0</xdr:col>
      <xdr:colOff>110065</xdr:colOff>
      <xdr:row>9</xdr:row>
      <xdr:rowOff>177427</xdr:rowOff>
    </xdr:from>
    <xdr:to>
      <xdr:col>7</xdr:col>
      <xdr:colOff>532279</xdr:colOff>
      <xdr:row>22</xdr:row>
      <xdr:rowOff>67733</xdr:rowOff>
    </xdr:to>
    <xdr:graphicFrame macro="">
      <xdr:nvGraphicFramePr>
        <xdr:cNvPr id="22" name="Chart 21">
          <a:extLst>
            <a:ext uri="{FF2B5EF4-FFF2-40B4-BE49-F238E27FC236}">
              <a16:creationId xmlns:a16="http://schemas.microsoft.com/office/drawing/2014/main" id="{9F5E9E0C-CB45-4000-81B5-00F2692D1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601132</xdr:colOff>
      <xdr:row>10</xdr:row>
      <xdr:rowOff>-1</xdr:rowOff>
    </xdr:from>
    <xdr:to>
      <xdr:col>16</xdr:col>
      <xdr:colOff>524933</xdr:colOff>
      <xdr:row>22</xdr:row>
      <xdr:rowOff>76199</xdr:rowOff>
    </xdr:to>
    <xdr:graphicFrame macro="">
      <xdr:nvGraphicFramePr>
        <xdr:cNvPr id="23" name="Chart 22">
          <a:extLst>
            <a:ext uri="{FF2B5EF4-FFF2-40B4-BE49-F238E27FC236}">
              <a16:creationId xmlns:a16="http://schemas.microsoft.com/office/drawing/2014/main" id="{3D1DFB16-4B60-4181-9B22-71AB50FFD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601133</xdr:colOff>
      <xdr:row>9</xdr:row>
      <xdr:rowOff>177799</xdr:rowOff>
    </xdr:from>
    <xdr:to>
      <xdr:col>25</xdr:col>
      <xdr:colOff>355600</xdr:colOff>
      <xdr:row>22</xdr:row>
      <xdr:rowOff>84666</xdr:rowOff>
    </xdr:to>
    <xdr:graphicFrame macro="">
      <xdr:nvGraphicFramePr>
        <xdr:cNvPr id="24" name="Chart 23">
          <a:extLst>
            <a:ext uri="{FF2B5EF4-FFF2-40B4-BE49-F238E27FC236}">
              <a16:creationId xmlns:a16="http://schemas.microsoft.com/office/drawing/2014/main" id="{1CC62D1B-26B2-41CB-8C5E-707C8F5FE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609599</xdr:colOff>
      <xdr:row>22</xdr:row>
      <xdr:rowOff>143933</xdr:rowOff>
    </xdr:from>
    <xdr:to>
      <xdr:col>16</xdr:col>
      <xdr:colOff>524932</xdr:colOff>
      <xdr:row>35</xdr:row>
      <xdr:rowOff>59267</xdr:rowOff>
    </xdr:to>
    <xdr:graphicFrame macro="">
      <xdr:nvGraphicFramePr>
        <xdr:cNvPr id="25" name="Chart 24">
          <a:extLst>
            <a:ext uri="{FF2B5EF4-FFF2-40B4-BE49-F238E27FC236}">
              <a16:creationId xmlns:a16="http://schemas.microsoft.com/office/drawing/2014/main" id="{42DB3D4B-E7BE-4598-BF38-1F1F94024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93132</xdr:colOff>
      <xdr:row>22</xdr:row>
      <xdr:rowOff>143933</xdr:rowOff>
    </xdr:from>
    <xdr:to>
      <xdr:col>7</xdr:col>
      <xdr:colOff>516467</xdr:colOff>
      <xdr:row>35</xdr:row>
      <xdr:rowOff>76200</xdr:rowOff>
    </xdr:to>
    <xdr:graphicFrame macro="">
      <xdr:nvGraphicFramePr>
        <xdr:cNvPr id="26" name="Chart 25">
          <a:extLst>
            <a:ext uri="{FF2B5EF4-FFF2-40B4-BE49-F238E27FC236}">
              <a16:creationId xmlns:a16="http://schemas.microsoft.com/office/drawing/2014/main" id="{4B7830F5-B5D1-464A-97A7-F940FC785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592664</xdr:colOff>
      <xdr:row>22</xdr:row>
      <xdr:rowOff>169333</xdr:rowOff>
    </xdr:from>
    <xdr:to>
      <xdr:col>25</xdr:col>
      <xdr:colOff>372533</xdr:colOff>
      <xdr:row>35</xdr:row>
      <xdr:rowOff>76202</xdr:rowOff>
    </xdr:to>
    <xdr:graphicFrame macro="">
      <xdr:nvGraphicFramePr>
        <xdr:cNvPr id="27" name="Chart 26">
          <a:extLst>
            <a:ext uri="{FF2B5EF4-FFF2-40B4-BE49-F238E27FC236}">
              <a16:creationId xmlns:a16="http://schemas.microsoft.com/office/drawing/2014/main" id="{CFDEB44C-4790-4D24-9097-EF539399C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62231</xdr:colOff>
      <xdr:row>4</xdr:row>
      <xdr:rowOff>146894</xdr:rowOff>
    </xdr:from>
    <xdr:to>
      <xdr:col>14</xdr:col>
      <xdr:colOff>277284</xdr:colOff>
      <xdr:row>9</xdr:row>
      <xdr:rowOff>74080</xdr:rowOff>
    </xdr:to>
    <xdr:sp macro="" textlink="">
      <xdr:nvSpPr>
        <xdr:cNvPr id="2" name="Rectangle: Rounded Corners 1">
          <a:extLst>
            <a:ext uri="{FF2B5EF4-FFF2-40B4-BE49-F238E27FC236}">
              <a16:creationId xmlns:a16="http://schemas.microsoft.com/office/drawing/2014/main" id="{9B1A1773-25D7-6B04-01D5-D94E58C847E2}"/>
            </a:ext>
          </a:extLst>
        </xdr:cNvPr>
        <xdr:cNvSpPr/>
      </xdr:nvSpPr>
      <xdr:spPr>
        <a:xfrm>
          <a:off x="6814398" y="866561"/>
          <a:ext cx="2056553" cy="826769"/>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222251</xdr:colOff>
      <xdr:row>5</xdr:row>
      <xdr:rowOff>31750</xdr:rowOff>
    </xdr:from>
    <xdr:to>
      <xdr:col>14</xdr:col>
      <xdr:colOff>84667</xdr:colOff>
      <xdr:row>6</xdr:row>
      <xdr:rowOff>95250</xdr:rowOff>
    </xdr:to>
    <xdr:sp macro="" textlink="">
      <xdr:nvSpPr>
        <xdr:cNvPr id="3" name="TextBox 2">
          <a:extLst>
            <a:ext uri="{FF2B5EF4-FFF2-40B4-BE49-F238E27FC236}">
              <a16:creationId xmlns:a16="http://schemas.microsoft.com/office/drawing/2014/main" id="{433A660B-DBE9-35B4-60FE-FD4C942929C7}"/>
            </a:ext>
          </a:extLst>
        </xdr:cNvPr>
        <xdr:cNvSpPr txBox="1"/>
      </xdr:nvSpPr>
      <xdr:spPr>
        <a:xfrm>
          <a:off x="6974418" y="931333"/>
          <a:ext cx="1703916"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latin typeface="Bodoni MT" panose="02070603080606020203" pitchFamily="18" charset="0"/>
            </a:rPr>
            <a:t>TOP MONTH</a:t>
          </a:r>
        </a:p>
      </xdr:txBody>
    </xdr:sp>
    <xdr:clientData/>
  </xdr:twoCellAnchor>
  <xdr:twoCellAnchor>
    <xdr:from>
      <xdr:col>11</xdr:col>
      <xdr:colOff>264583</xdr:colOff>
      <xdr:row>6</xdr:row>
      <xdr:rowOff>169333</xdr:rowOff>
    </xdr:from>
    <xdr:to>
      <xdr:col>14</xdr:col>
      <xdr:colOff>116416</xdr:colOff>
      <xdr:row>8</xdr:row>
      <xdr:rowOff>137584</xdr:rowOff>
    </xdr:to>
    <xdr:sp macro="" textlink="">
      <xdr:nvSpPr>
        <xdr:cNvPr id="4" name="TextBox 3">
          <a:extLst>
            <a:ext uri="{FF2B5EF4-FFF2-40B4-BE49-F238E27FC236}">
              <a16:creationId xmlns:a16="http://schemas.microsoft.com/office/drawing/2014/main" id="{2CB3D924-295B-849A-03C3-F83DA8CFB0BA}"/>
            </a:ext>
          </a:extLst>
        </xdr:cNvPr>
        <xdr:cNvSpPr txBox="1"/>
      </xdr:nvSpPr>
      <xdr:spPr>
        <a:xfrm>
          <a:off x="7016750" y="1248833"/>
          <a:ext cx="1693333" cy="328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tx1"/>
              </a:solidFill>
              <a:latin typeface="Bodoni MT" panose="02070603080606020203" pitchFamily="18" charset="0"/>
            </a:rPr>
            <a:t>MAY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0.828152199072" createdVersion="8" refreshedVersion="8" minRefreshableVersion="3" recordCount="700" xr:uid="{51C36A06-00D1-4B58-B6C7-045076542CB4}">
  <cacheSource type="worksheet">
    <worksheetSource name="Table1"/>
  </cacheSource>
  <cacheFields count="16">
    <cacheField name="Customer ID" numFmtId="1">
      <sharedItems containsSemiMixedTypes="0" containsString="0" containsNumber="1" containsInteger="1" minValue="12568" maxValue="25682"/>
    </cacheField>
    <cacheField name="First Name" numFmtId="49">
      <sharedItems/>
    </cacheField>
    <cacheField name="Last Name" numFmtId="49">
      <sharedItems/>
    </cacheField>
    <cacheField name="Country" numFmtId="49">
      <sharedItems/>
    </cacheField>
    <cacheField name="Region" numFmtId="49">
      <sharedItems count="4">
        <s v=" East"/>
        <s v=" South"/>
        <s v=" West"/>
        <s v=" North"/>
      </sharedItems>
    </cacheField>
    <cacheField name="State" numFmtId="49">
      <sharedItems count="4">
        <s v="bihar"/>
        <s v="puducherry"/>
        <s v="gujarat"/>
        <s v="delhi"/>
      </sharedItems>
    </cacheField>
    <cacheField name="Postal Code" numFmtId="2">
      <sharedItems containsMixedTypes="1" containsNumber="1" containsInteger="1" minValue="123456" maxValue="123456"/>
    </cacheField>
    <cacheField name="Email ID" numFmtId="49">
      <sharedItems/>
    </cacheField>
    <cacheField name="Product Name" numFmtId="49">
      <sharedItems count="5">
        <s v="Dell Inspiron 15"/>
        <s v="Lenovo IdeaPad Slim 3i"/>
        <s v="Mi NoteBook Ultra"/>
        <s v="Samsung Galaxy Go"/>
        <s v="Acer Aspire 3"/>
      </sharedItems>
    </cacheField>
    <cacheField name="Order ID" numFmtId="1">
      <sharedItems containsSemiMixedTypes="0" containsString="0" containsNumber="1" containsInteger="1" minValue="4530" maxValue="5528" count="508">
        <n v="4817"/>
        <n v="5033"/>
        <n v="4799"/>
        <n v="4653"/>
        <n v="4682"/>
        <n v="4708"/>
        <n v="5252"/>
        <n v="5470"/>
        <n v="4942"/>
        <n v="5459"/>
        <n v="4617"/>
        <n v="5467"/>
        <n v="5503"/>
        <n v="5366"/>
        <n v="5093"/>
        <n v="4989"/>
        <n v="4791"/>
        <n v="5490"/>
        <n v="4620"/>
        <n v="4644"/>
        <n v="4741"/>
        <n v="4582"/>
        <n v="5466"/>
        <n v="5274"/>
        <n v="5445"/>
        <n v="4701"/>
        <n v="5327"/>
        <n v="4580"/>
        <n v="4946"/>
        <n v="5356"/>
        <n v="5322"/>
        <n v="4730"/>
        <n v="5096"/>
        <n v="5064"/>
        <n v="4669"/>
        <n v="5169"/>
        <n v="5514"/>
        <n v="4614"/>
        <n v="5508"/>
        <n v="5386"/>
        <n v="5057"/>
        <n v="4854"/>
        <n v="4901"/>
        <n v="4705"/>
        <n v="4574"/>
        <n v="4803"/>
        <n v="5188"/>
        <n v="5184"/>
        <n v="4538"/>
        <n v="5091"/>
        <n v="5182"/>
        <n v="4690"/>
        <n v="5296"/>
        <n v="5491"/>
        <n v="5280"/>
        <n v="5402"/>
        <n v="4997"/>
        <n v="4743"/>
        <n v="5323"/>
        <n v="4755"/>
        <n v="4941"/>
        <n v="5373"/>
        <n v="5401"/>
        <n v="5120"/>
        <n v="5352"/>
        <n v="4563"/>
        <n v="4810"/>
        <n v="4553"/>
        <n v="4990"/>
        <n v="5153"/>
        <n v="5421"/>
        <n v="4533"/>
        <n v="5423"/>
        <n v="4787"/>
        <n v="4780"/>
        <n v="4573"/>
        <n v="5266"/>
        <n v="4650"/>
        <n v="4783"/>
        <n v="5303"/>
        <n v="5165"/>
        <n v="4889"/>
        <n v="5311"/>
        <n v="5363"/>
        <n v="4839"/>
        <n v="4770"/>
        <n v="4722"/>
        <n v="4689"/>
        <n v="5433"/>
        <n v="5115"/>
        <n v="4608"/>
        <n v="4721"/>
        <n v="5118"/>
        <n v="4618"/>
        <n v="5129"/>
        <n v="4558"/>
        <n v="5315"/>
        <n v="5518"/>
        <n v="4679"/>
        <n v="5060"/>
        <n v="5331"/>
        <n v="5008"/>
        <n v="4961"/>
        <n v="4530"/>
        <n v="4662"/>
        <n v="5080"/>
        <n v="5246"/>
        <n v="4952"/>
        <n v="4967"/>
        <n v="5039"/>
        <n v="5417"/>
        <n v="5486"/>
        <n v="4739"/>
        <n v="5494"/>
        <n v="4771"/>
        <n v="5089"/>
        <n v="5158"/>
        <n v="5162"/>
        <n v="5225"/>
        <n v="4831"/>
        <n v="5082"/>
        <n v="4873"/>
        <n v="5330"/>
        <n v="4870"/>
        <n v="5328"/>
        <n v="4985"/>
        <n v="5069"/>
        <n v="4568"/>
        <n v="4711"/>
        <n v="4815"/>
        <n v="4893"/>
        <n v="4855"/>
        <n v="5170"/>
        <n v="5442"/>
        <n v="4603"/>
        <n v="5002"/>
        <n v="5291"/>
        <n v="4966"/>
        <n v="4759"/>
        <n v="4651"/>
        <n v="4869"/>
        <n v="4545"/>
        <n v="4648"/>
        <n v="5288"/>
        <n v="5377"/>
        <n v="4918"/>
        <n v="5493"/>
        <n v="4704"/>
        <n v="5192"/>
        <n v="5501"/>
        <n v="4747"/>
        <n v="4671"/>
        <n v="5194"/>
        <n v="5507"/>
        <n v="5037"/>
        <n v="4852"/>
        <n v="4596"/>
        <n v="5394"/>
        <n v="4862"/>
        <n v="5480"/>
        <n v="4984"/>
        <n v="4793"/>
        <n v="4840"/>
        <n v="4777"/>
        <n v="5469"/>
        <n v="5228"/>
        <n v="5251"/>
        <n v="5023"/>
        <n v="4779"/>
        <n v="5171"/>
        <n v="5020"/>
        <n v="4615"/>
        <n v="4922"/>
        <n v="5168"/>
        <n v="5101"/>
        <n v="5289"/>
        <n v="4622"/>
        <n v="5176"/>
        <n v="4826"/>
        <n v="4999"/>
        <n v="5416"/>
        <n v="4807"/>
        <n v="5441"/>
        <n v="4913"/>
        <n v="4713"/>
        <n v="5085"/>
        <n v="4728"/>
        <n v="5461"/>
        <n v="5135"/>
        <n v="5422"/>
        <n v="4654"/>
        <n v="4888"/>
        <n v="4559"/>
        <n v="5179"/>
        <n v="4902"/>
        <n v="4664"/>
        <n v="5298"/>
        <n v="4828"/>
        <n v="4914"/>
        <n v="5009"/>
        <n v="5257"/>
        <n v="5326"/>
        <n v="5106"/>
        <n v="4554"/>
        <n v="4955"/>
        <n v="4945"/>
        <n v="4838"/>
        <n v="4714"/>
        <n v="4837"/>
        <n v="4591"/>
        <n v="5407"/>
        <n v="5412"/>
        <n v="5346"/>
        <n v="5124"/>
        <n v="5436"/>
        <n v="5496"/>
        <n v="5307"/>
        <n v="5297"/>
        <n v="4723"/>
        <n v="5360"/>
        <n v="5055"/>
        <n v="5136"/>
        <n v="4543"/>
        <n v="5138"/>
        <n v="4845"/>
        <n v="4535"/>
        <n v="5241"/>
        <n v="5452"/>
        <n v="5052"/>
        <n v="4691"/>
        <n v="5119"/>
        <n v="4969"/>
        <n v="4953"/>
        <n v="5116"/>
        <n v="5273"/>
        <n v="5434"/>
        <n v="5141"/>
        <n v="5325"/>
        <n v="5353"/>
        <n v="4809"/>
        <n v="4643"/>
        <n v="5196"/>
        <n v="4687"/>
        <n v="4785"/>
        <n v="5294"/>
        <n v="5410"/>
        <n v="4537"/>
        <n v="4944"/>
        <n v="5076"/>
        <n v="4656"/>
        <n v="5451"/>
        <n v="5065"/>
        <n v="5332"/>
        <n v="4925"/>
        <n v="5081"/>
        <n v="5180"/>
        <n v="5079"/>
        <n v="4788"/>
        <n v="5362"/>
        <n v="4660"/>
        <n v="5137"/>
        <n v="4851"/>
        <n v="4763"/>
        <n v="4738"/>
        <n v="4832"/>
        <n v="4881"/>
        <n v="4630"/>
        <n v="4716"/>
        <n v="4735"/>
        <n v="5344"/>
        <n v="5061"/>
        <n v="4962"/>
        <n v="4694"/>
        <n v="5232"/>
        <n v="4948"/>
        <n v="4834"/>
        <n v="4564"/>
        <n v="4557"/>
        <n v="4960"/>
        <n v="5446"/>
        <n v="5339"/>
        <n v="5263"/>
        <n v="4847"/>
        <n v="5073"/>
        <n v="4744"/>
        <n v="5398"/>
        <n v="5059"/>
        <n v="5048"/>
        <n v="4571"/>
        <n v="4841"/>
        <n v="4632"/>
        <n v="4786"/>
        <n v="5159"/>
        <n v="5429"/>
        <n v="5210"/>
        <n v="5526"/>
        <n v="5173"/>
        <n v="4775"/>
        <n v="4905"/>
        <n v="5238"/>
        <n v="5284"/>
        <n v="5211"/>
        <n v="4931"/>
        <n v="5329"/>
        <n v="5374"/>
        <n v="4693"/>
        <n v="4819"/>
        <n v="4602"/>
        <n v="4876"/>
        <n v="5393"/>
        <n v="4726"/>
        <n v="4782"/>
        <n v="5271"/>
        <n v="4668"/>
        <n v="4577"/>
        <n v="4923"/>
        <n v="5260"/>
        <n v="4719"/>
        <n v="5143"/>
        <n v="5198"/>
        <n v="4947"/>
        <n v="4887"/>
        <n v="5321"/>
        <n v="5087"/>
        <n v="4712"/>
        <n v="4860"/>
        <n v="4971"/>
        <n v="5382"/>
        <n v="4695"/>
        <n v="4916"/>
        <n v="4903"/>
        <n v="5456"/>
        <n v="5249"/>
        <n v="4940"/>
        <n v="4534"/>
        <n v="5413"/>
        <n v="5213"/>
        <n v="5026"/>
        <n v="4976"/>
        <n v="4959"/>
        <n v="5050"/>
        <n v="5317"/>
        <n v="5031"/>
        <n v="5104"/>
        <n v="4702"/>
        <n v="5220"/>
        <n v="5392"/>
        <n v="5349"/>
        <n v="5400"/>
        <n v="5212"/>
        <n v="5428"/>
        <n v="5131"/>
        <n v="4894"/>
        <n v="4757"/>
        <n v="4610"/>
        <n v="5071"/>
        <n v="4813"/>
        <n v="4652"/>
        <n v="4926"/>
        <n v="5256"/>
        <n v="4812"/>
        <n v="4904"/>
        <n v="5202"/>
        <n v="5426"/>
        <n v="5117"/>
        <n v="4996"/>
        <n v="4856"/>
        <n v="4599"/>
        <n v="5001"/>
        <n v="5359"/>
        <n v="4846"/>
        <n v="5046"/>
        <n v="5042"/>
        <n v="5312"/>
        <n v="5107"/>
        <n v="4709"/>
        <n v="4697"/>
        <n v="4797"/>
        <n v="5049"/>
        <n v="5285"/>
        <n v="5408"/>
        <n v="5281"/>
        <n v="4589"/>
        <n v="5444"/>
        <n v="4963"/>
        <n v="4642"/>
        <n v="5206"/>
        <n v="5175"/>
        <n v="5214"/>
        <n v="4737"/>
        <n v="5479"/>
        <n v="4867"/>
        <n v="5068"/>
        <n v="5125"/>
        <n v="5338"/>
        <n v="5040"/>
        <n v="4667"/>
        <n v="4830"/>
        <n v="5114"/>
        <n v="5295"/>
        <n v="5522"/>
        <n v="4919"/>
        <n v="4581"/>
        <n v="4532"/>
        <n v="5430"/>
        <n v="4551"/>
        <n v="4820"/>
        <n v="5151"/>
        <n v="5516"/>
        <n v="4666"/>
        <n v="5487"/>
        <n v="5084"/>
        <n v="4818"/>
        <n v="5448"/>
        <n v="4649"/>
        <n v="5051"/>
        <n v="5498"/>
        <n v="5389"/>
        <n v="5511"/>
        <n v="5029"/>
        <n v="4657"/>
        <n v="4593"/>
        <n v="5222"/>
        <n v="4978"/>
        <n v="5357"/>
        <n v="4700"/>
        <n v="5028"/>
        <n v="5147"/>
        <n v="4891"/>
        <n v="4750"/>
        <n v="5109"/>
        <n v="5201"/>
        <n v="5474"/>
        <n v="4939"/>
        <n v="4609"/>
        <n v="4756"/>
        <n v="4760"/>
        <n v="5424"/>
        <n v="4801"/>
        <n v="5134"/>
        <n v="5528"/>
        <n v="5492"/>
        <n v="5195"/>
        <n v="5481"/>
        <n v="5443"/>
        <n v="5495"/>
        <n v="4575"/>
        <n v="5044"/>
        <n v="4825"/>
        <n v="5342"/>
        <n v="4547"/>
        <n v="5075"/>
        <n v="5152"/>
        <n v="5277"/>
        <n v="4900"/>
        <n v="5007"/>
        <n v="4578"/>
        <n v="4616"/>
        <n v="5239"/>
        <n v="5003"/>
        <n v="4753"/>
        <n v="5310"/>
        <n v="4794"/>
        <n v="5164"/>
        <n v="4929"/>
        <n v="5350"/>
        <n v="5235"/>
        <n v="4811"/>
        <n v="5242"/>
        <n v="5458"/>
        <n v="4665"/>
        <n v="5406"/>
        <n v="5463"/>
        <n v="4790"/>
        <n v="5148"/>
        <n v="5381"/>
        <n v="4907"/>
        <n v="5099"/>
        <n v="4636"/>
        <n v="4805"/>
        <n v="5000"/>
        <n v="5439"/>
        <n v="4774"/>
        <n v="4778"/>
        <n v="4613"/>
        <n v="5517"/>
        <n v="5335"/>
        <n v="4950"/>
        <n v="4886"/>
        <n v="5272"/>
        <n v="4935"/>
        <n v="4672"/>
        <n v="4715"/>
        <n v="5371"/>
        <n v="5247"/>
        <n v="5306"/>
        <n v="5207"/>
        <n v="5440"/>
        <n v="5178"/>
        <n v="5506"/>
        <n v="4885"/>
        <n v="4718"/>
        <n v="4752"/>
        <n v="5399"/>
        <n v="4866"/>
        <n v="5314"/>
        <n v="5414"/>
        <n v="5351"/>
      </sharedItems>
    </cacheField>
    <cacheField name="Order Date" numFmtId="14">
      <sharedItems containsSemiMixedTypes="0" containsNonDate="0" containsDate="1" containsString="0" minDate="2020-01-02T00:00:00" maxDate="2020-06-23T00:00:00" count="61">
        <d v="2020-01-07T00:00:00"/>
        <d v="2020-06-13T00:00:00"/>
        <d v="2020-02-15T00:00:00"/>
        <d v="2020-05-12T00:00:00"/>
        <d v="2020-04-08T00:00:00"/>
        <d v="2020-05-28T00:00:00"/>
        <d v="2020-02-12T00:00:00"/>
        <d v="2020-05-15T00:00:00"/>
        <d v="2020-05-21T00:00:00"/>
        <d v="2020-01-28T00:00:00"/>
        <d v="2020-05-02T00:00:00"/>
        <d v="2020-02-22T00:00:00"/>
        <d v="2020-03-27T00:00:00"/>
        <d v="2020-01-20T00:00:00"/>
        <d v="2020-03-12T00:00:00"/>
        <d v="2020-06-15T00:00:00"/>
        <d v="2020-05-10T00:00:00"/>
        <d v="2020-03-10T00:00:00"/>
        <d v="2020-04-20T00:00:00"/>
        <d v="2020-05-09T00:00:00"/>
        <d v="2020-06-12T00:00:00"/>
        <d v="2020-03-02T00:00:00"/>
        <d v="2020-01-02T00:00:00"/>
        <d v="2020-02-02T00:00:00"/>
        <d v="2020-03-15T00:00:00"/>
        <d v="2020-03-30T00:00:00"/>
        <d v="2020-06-03T00:00:00"/>
        <d v="2020-03-22T00:00:00"/>
        <d v="2020-05-17T00:00:00"/>
        <d v="2020-02-18T00:00:00"/>
        <d v="2020-03-04T00:00:00"/>
        <d v="2020-06-07T00:00:00"/>
        <d v="2020-05-03T00:00:00"/>
        <d v="2020-06-22T00:00:00"/>
        <d v="2020-04-06T00:00:00"/>
        <d v="2020-01-03T00:00:00"/>
        <d v="2020-04-04T00:00:00"/>
        <d v="2020-04-09T00:00:00"/>
        <d v="2020-01-12T00:00:00"/>
        <d v="2020-01-27T00:00:00"/>
        <d v="2020-05-25T00:00:00"/>
        <d v="2020-05-16T00:00:00"/>
        <d v="2020-06-02T00:00:00"/>
        <d v="2020-01-15T00:00:00"/>
        <d v="2020-03-16T00:00:00"/>
        <d v="2020-04-23T00:00:00"/>
        <d v="2020-01-22T00:00:00"/>
        <d v="2020-04-19T00:00:00"/>
        <d v="2020-03-29T00:00:00"/>
        <d v="2020-06-18T00:00:00"/>
        <d v="2020-05-14T00:00:00"/>
        <d v="2020-01-25T00:00:00"/>
        <d v="2020-01-11T00:00:00"/>
        <d v="2020-04-13T00:00:00"/>
        <d v="2020-02-21T00:00:00"/>
        <d v="2020-05-22T00:00:00"/>
        <d v="2020-01-10T00:00:00"/>
        <d v="2020-04-02T00:00:00"/>
        <d v="2020-04-27T00:00:00"/>
        <d v="2020-01-16T00:00:00"/>
        <d v="2020-01-17T00:00:00"/>
      </sharedItems>
      <fieldGroup par="15" base="10">
        <rangePr groupBy="days" startDate="2020-01-02T00:00:00" endDate="2020-06-23T00:00:00"/>
        <groupItems count="368">
          <s v="&lt;02-01-20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6-2020"/>
        </groupItems>
      </fieldGroup>
    </cacheField>
    <cacheField name="Ship Date" numFmtId="14">
      <sharedItems containsSemiMixedTypes="0" containsNonDate="0" containsDate="1" containsString="0" minDate="2020-01-02T00:00:00" maxDate="2020-06-25T00:00:00"/>
    </cacheField>
    <cacheField name="Unit Sold" numFmtId="1">
      <sharedItems containsSemiMixedTypes="0" containsString="0" containsNumber="1" containsInteger="1" minValue="1" maxValue="10" count="10">
        <n v="4"/>
        <n v="9"/>
        <n v="5"/>
        <n v="8"/>
        <n v="6"/>
        <n v="10"/>
        <n v="3"/>
        <n v="2"/>
        <n v="1"/>
        <n v="7"/>
      </sharedItems>
    </cacheField>
    <cacheField name="Sale Price" numFmtId="164">
      <sharedItems containsSemiMixedTypes="0" containsString="0" containsNumber="1" containsInteger="1" minValue="34690" maxValue="66989"/>
    </cacheField>
    <cacheField name="Status" numFmtId="49">
      <sharedItems count="1">
        <s v="Shipped"/>
      </sharedItems>
    </cacheField>
    <cacheField name="Months" numFmtId="0" databaseField="0">
      <fieldGroup base="10">
        <rangePr groupBy="months" startDate="2020-01-02T00:00:00" endDate="2020-06-23T00:00:00"/>
        <groupItems count="14">
          <s v="&lt;02-01-2020"/>
          <s v="Jan"/>
          <s v="Feb"/>
          <s v="Mar"/>
          <s v="Apr"/>
          <s v="May"/>
          <s v="Jun"/>
          <s v="Jul"/>
          <s v="Aug"/>
          <s v="Sep"/>
          <s v="Oct"/>
          <s v="Nov"/>
          <s v="Dec"/>
          <s v="&gt;23-06-2020"/>
        </groupItems>
      </fieldGroup>
    </cacheField>
  </cacheFields>
  <extLst>
    <ext xmlns:x14="http://schemas.microsoft.com/office/spreadsheetml/2009/9/main" uri="{725AE2AE-9491-48be-B2B4-4EB974FC3084}">
      <x14:pivotCacheDefinition pivotCacheId="452311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n v="17943"/>
    <s v="Jason"/>
    <s v="Wright"/>
    <s v="India "/>
    <x v="0"/>
    <x v="0"/>
    <s v="81 31 08"/>
    <s v="jason.wright@gmail.com"/>
    <x v="0"/>
    <x v="0"/>
    <x v="0"/>
    <d v="2020-01-08T00:00:00"/>
    <x v="0"/>
    <n v="66989"/>
    <x v="0"/>
  </r>
  <r>
    <n v="23903"/>
    <s v="Donna"/>
    <s v="Blake"/>
    <s v="India "/>
    <x v="1"/>
    <x v="1"/>
    <s v="60 50 01"/>
    <s v="donna.blake@gmail.com"/>
    <x v="1"/>
    <x v="1"/>
    <x v="1"/>
    <d v="2020-06-15T00:00:00"/>
    <x v="1"/>
    <n v="34690"/>
    <x v="0"/>
  </r>
  <r>
    <n v="13607"/>
    <s v="Jason"/>
    <s v="Bond"/>
    <s v="India "/>
    <x v="0"/>
    <x v="0"/>
    <s v="81 31 08"/>
    <s v="jason.bond@gmail.com"/>
    <x v="2"/>
    <x v="2"/>
    <x v="2"/>
    <d v="2020-02-17T00:00:00"/>
    <x v="0"/>
    <n v="57999"/>
    <x v="0"/>
  </r>
  <r>
    <n v="13208"/>
    <s v="Una"/>
    <s v="King"/>
    <s v="India "/>
    <x v="2"/>
    <x v="2"/>
    <s v="38 84 21"/>
    <s v="una.king@gmail.com"/>
    <x v="3"/>
    <x v="3"/>
    <x v="3"/>
    <d v="2020-05-14T00:00:00"/>
    <x v="1"/>
    <n v="36990"/>
    <x v="0"/>
  </r>
  <r>
    <n v="13939"/>
    <s v="Steven"/>
    <s v="Walsh"/>
    <s v="India "/>
    <x v="2"/>
    <x v="2"/>
    <s v="38 84 21"/>
    <s v="steven.walsh@gmail.com"/>
    <x v="4"/>
    <x v="4"/>
    <x v="3"/>
    <d v="2020-05-13T00:00:00"/>
    <x v="2"/>
    <n v="38980"/>
    <x v="0"/>
  </r>
  <r>
    <n v="23848"/>
    <s v="Joe"/>
    <s v="Vance"/>
    <s v="India "/>
    <x v="3"/>
    <x v="3"/>
    <s v="11 00 07"/>
    <s v="joe.vance@gmail.com"/>
    <x v="0"/>
    <x v="5"/>
    <x v="3"/>
    <d v="2020-05-13T00:00:00"/>
    <x v="3"/>
    <n v="66989"/>
    <x v="0"/>
  </r>
  <r>
    <n v="12638"/>
    <s v="Deirdre"/>
    <s v="Mills"/>
    <s v="India "/>
    <x v="0"/>
    <x v="0"/>
    <s v="81 31 08"/>
    <s v="deirdre.mills@gmail.com"/>
    <x v="2"/>
    <x v="6"/>
    <x v="3"/>
    <d v="2020-05-13T00:00:00"/>
    <x v="4"/>
    <n v="57999"/>
    <x v="0"/>
  </r>
  <r>
    <n v="16642"/>
    <s v="Adam"/>
    <s v="Ince"/>
    <s v="India "/>
    <x v="1"/>
    <x v="1"/>
    <s v="60 50 01"/>
    <s v="adam.ince@gmail.com"/>
    <x v="4"/>
    <x v="7"/>
    <x v="4"/>
    <d v="2020-04-09T00:00:00"/>
    <x v="1"/>
    <n v="38980"/>
    <x v="0"/>
  </r>
  <r>
    <n v="13447"/>
    <s v="Rose"/>
    <s v="Clark"/>
    <s v="India "/>
    <x v="0"/>
    <x v="0"/>
    <s v="81 31 08"/>
    <s v="rose.clark@gmail.com"/>
    <x v="0"/>
    <x v="8"/>
    <x v="5"/>
    <d v="2020-05-28T00:00:00"/>
    <x v="5"/>
    <n v="66989"/>
    <x v="0"/>
  </r>
  <r>
    <n v="25227"/>
    <s v="Wanda"/>
    <s v="Lee"/>
    <s v="India "/>
    <x v="2"/>
    <x v="2"/>
    <s v="38 84 21"/>
    <s v="wanda.lee@gmail.com"/>
    <x v="1"/>
    <x v="9"/>
    <x v="6"/>
    <d v="2020-02-15T00:00:00"/>
    <x v="6"/>
    <n v="34690"/>
    <x v="0"/>
  </r>
  <r>
    <n v="13535"/>
    <s v="Ruth"/>
    <s v="Rutherford"/>
    <s v="India "/>
    <x v="2"/>
    <x v="2"/>
    <s v="38 84 21"/>
    <s v="ruth.rutherford@gmail.com"/>
    <x v="3"/>
    <x v="10"/>
    <x v="6"/>
    <d v="2020-02-14T00:00:00"/>
    <x v="7"/>
    <n v="36990"/>
    <x v="0"/>
  </r>
  <r>
    <n v="19772"/>
    <s v="Claire"/>
    <s v="Hamilton"/>
    <s v="India "/>
    <x v="3"/>
    <x v="3"/>
    <s v="11 00 07"/>
    <s v="claire.hamilton@gmail.com"/>
    <x v="0"/>
    <x v="11"/>
    <x v="7"/>
    <d v="2020-05-16T00:00:00"/>
    <x v="8"/>
    <n v="66989"/>
    <x v="0"/>
  </r>
  <r>
    <n v="19957"/>
    <s v="Christopher"/>
    <s v="MacDonald"/>
    <s v="India "/>
    <x v="0"/>
    <x v="0"/>
    <s v="81 31 08"/>
    <s v="christopher.macdonald@gmail.com"/>
    <x v="4"/>
    <x v="12"/>
    <x v="8"/>
    <d v="2020-05-23T00:00:00"/>
    <x v="1"/>
    <n v="38980"/>
    <x v="0"/>
  </r>
  <r>
    <n v="12996"/>
    <s v="Carl"/>
    <s v="Berry"/>
    <s v="India "/>
    <x v="1"/>
    <x v="1"/>
    <s v="60 50 01"/>
    <s v="carl.berry@gmail.com"/>
    <x v="2"/>
    <x v="13"/>
    <x v="7"/>
    <d v="2020-05-16T00:00:00"/>
    <x v="5"/>
    <n v="57999"/>
    <x v="0"/>
  </r>
  <r>
    <n v="24631"/>
    <s v="Jane"/>
    <s v="Anderson"/>
    <s v="India "/>
    <x v="0"/>
    <x v="0"/>
    <s v="81 31 08"/>
    <s v="jane.anderson@gmail.com"/>
    <x v="3"/>
    <x v="14"/>
    <x v="8"/>
    <d v="2020-05-22T00:00:00"/>
    <x v="0"/>
    <n v="36990"/>
    <x v="0"/>
  </r>
  <r>
    <n v="17872"/>
    <s v="Jasmine"/>
    <s v="Stewart"/>
    <s v="India "/>
    <x v="2"/>
    <x v="2"/>
    <s v="38 84 21"/>
    <s v="jasmine.stewart@gmail.com"/>
    <x v="4"/>
    <x v="15"/>
    <x v="8"/>
    <d v="2020-05-23T00:00:00"/>
    <x v="0"/>
    <n v="38980"/>
    <x v="0"/>
  </r>
  <r>
    <n v="19514"/>
    <s v="Jacob"/>
    <s v="Bond"/>
    <s v="India "/>
    <x v="2"/>
    <x v="2"/>
    <s v="38 84 21"/>
    <s v="jacob.bond@gmail.com"/>
    <x v="0"/>
    <x v="16"/>
    <x v="9"/>
    <d v="2020-01-29T00:00:00"/>
    <x v="8"/>
    <n v="66989"/>
    <x v="0"/>
  </r>
  <r>
    <n v="12708"/>
    <s v="Ryan"/>
    <s v="Glover"/>
    <s v="India "/>
    <x v="3"/>
    <x v="3"/>
    <s v="11 00 07"/>
    <s v="ryan.glover@gmail.com"/>
    <x v="2"/>
    <x v="17"/>
    <x v="9"/>
    <d v="2020-01-30T00:00:00"/>
    <x v="0"/>
    <n v="57999"/>
    <x v="0"/>
  </r>
  <r>
    <n v="20646"/>
    <s v="Madeleine"/>
    <s v="Clark"/>
    <s v="India "/>
    <x v="0"/>
    <x v="0"/>
    <s v="81 31 08"/>
    <s v="madeleine.clark@gmail.com"/>
    <x v="4"/>
    <x v="18"/>
    <x v="10"/>
    <d v="2020-05-04T00:00:00"/>
    <x v="4"/>
    <n v="38980"/>
    <x v="0"/>
  </r>
  <r>
    <n v="20233"/>
    <s v="Jonathan"/>
    <s v="Roberts"/>
    <s v="India "/>
    <x v="1"/>
    <x v="1"/>
    <s v="60 50 01"/>
    <s v="jonathan.roberts@gmail.com"/>
    <x v="0"/>
    <x v="19"/>
    <x v="11"/>
    <d v="2020-02-23T00:00:00"/>
    <x v="2"/>
    <n v="66989"/>
    <x v="0"/>
  </r>
  <r>
    <n v="16712"/>
    <s v="Lauren"/>
    <s v="Rutherford"/>
    <s v="India "/>
    <x v="0"/>
    <x v="0"/>
    <s v="81 31 08"/>
    <s v="lauren.rutherford@gmail.com"/>
    <x v="1"/>
    <x v="20"/>
    <x v="12"/>
    <d v="2020-03-28T00:00:00"/>
    <x v="1"/>
    <n v="34690"/>
    <x v="0"/>
  </r>
  <r>
    <n v="14932"/>
    <s v="Tracey"/>
    <s v="Mills"/>
    <s v="India "/>
    <x v="2"/>
    <x v="2"/>
    <s v="38 84 21"/>
    <s v="tracey.mills@gmail.com"/>
    <x v="2"/>
    <x v="21"/>
    <x v="13"/>
    <d v="2020-01-22T00:00:00"/>
    <x v="9"/>
    <n v="57999"/>
    <x v="0"/>
  </r>
  <r>
    <n v="18589"/>
    <s v="Jacob"/>
    <s v="Fraser"/>
    <s v="India "/>
    <x v="2"/>
    <x v="2"/>
    <s v="38 84 21"/>
    <s v="jacob.fraser@gmail.com"/>
    <x v="3"/>
    <x v="22"/>
    <x v="14"/>
    <d v="2020-03-19T00:00:00"/>
    <x v="4"/>
    <n v="36990"/>
    <x v="0"/>
  </r>
  <r>
    <n v="21399"/>
    <s v="Edward"/>
    <s v="Bailey"/>
    <s v="India "/>
    <x v="3"/>
    <x v="3"/>
    <s v="11 00 07"/>
    <s v="edward.bailey@gmail.com"/>
    <x v="4"/>
    <x v="23"/>
    <x v="15"/>
    <d v="2020-06-17T00:00:00"/>
    <x v="5"/>
    <n v="38980"/>
    <x v="0"/>
  </r>
  <r>
    <n v="19322"/>
    <s v="Leonard"/>
    <s v="Springer"/>
    <s v="India "/>
    <x v="3"/>
    <x v="3"/>
    <s v="11 00 07"/>
    <s v="leonard.springer@gmail.com"/>
    <x v="0"/>
    <x v="24"/>
    <x v="15"/>
    <d v="2020-06-16T00:00:00"/>
    <x v="5"/>
    <n v="66989"/>
    <x v="0"/>
  </r>
  <r>
    <n v="15970"/>
    <s v="Claire"/>
    <s v="Dowd"/>
    <s v="India "/>
    <x v="0"/>
    <x v="0"/>
    <s v="81 31 08"/>
    <s v="claire.dowd@gmail.com"/>
    <x v="2"/>
    <x v="25"/>
    <x v="16"/>
    <d v="2020-05-11T00:00:00"/>
    <x v="1"/>
    <n v="57999"/>
    <x v="0"/>
  </r>
  <r>
    <n v="16407"/>
    <s v="Anne"/>
    <s v="Graham"/>
    <s v="India "/>
    <x v="1"/>
    <x v="1"/>
    <s v="60 50 01"/>
    <s v="anne.graham@gmail.com"/>
    <x v="4"/>
    <x v="26"/>
    <x v="17"/>
    <d v="2020-03-10T00:00:00"/>
    <x v="4"/>
    <n v="38980"/>
    <x v="0"/>
  </r>
  <r>
    <n v="12827"/>
    <s v="Jennifer"/>
    <s v="Kerr"/>
    <s v="India "/>
    <x v="0"/>
    <x v="0"/>
    <s v="81 31 08"/>
    <s v="jennifer.kerr@gmail.com"/>
    <x v="0"/>
    <x v="27"/>
    <x v="9"/>
    <d v="2020-01-30T00:00:00"/>
    <x v="5"/>
    <n v="66989"/>
    <x v="0"/>
  </r>
  <r>
    <n v="20694"/>
    <s v="Lisa"/>
    <s v="Scott"/>
    <s v="India "/>
    <x v="2"/>
    <x v="2"/>
    <s v="38 84 21"/>
    <s v="lisa.scott@gmail.com"/>
    <x v="1"/>
    <x v="28"/>
    <x v="17"/>
    <d v="2020-03-11T00:00:00"/>
    <x v="6"/>
    <n v="34690"/>
    <x v="0"/>
  </r>
  <r>
    <n v="14837"/>
    <s v="Yvonne"/>
    <s v="Dowd"/>
    <s v="India "/>
    <x v="2"/>
    <x v="2"/>
    <s v="38 84 21"/>
    <s v="yvonne.dowd@gmail.com"/>
    <x v="3"/>
    <x v="29"/>
    <x v="18"/>
    <d v="2020-04-21T00:00:00"/>
    <x v="8"/>
    <n v="36990"/>
    <x v="0"/>
  </r>
  <r>
    <n v="18465"/>
    <s v="Alexandra"/>
    <s v="Dickens"/>
    <s v="India "/>
    <x v="3"/>
    <x v="3"/>
    <s v="11 00 07"/>
    <s v="alexandra.dickens@gmail.com"/>
    <x v="0"/>
    <x v="30"/>
    <x v="18"/>
    <d v="2020-04-21T00:00:00"/>
    <x v="0"/>
    <n v="66989"/>
    <x v="0"/>
  </r>
  <r>
    <n v="19734"/>
    <s v="Anne"/>
    <s v="Edmunds"/>
    <s v="India "/>
    <x v="0"/>
    <x v="0"/>
    <s v="81 31 08"/>
    <s v="anne.edmunds@gmail.com"/>
    <x v="4"/>
    <x v="31"/>
    <x v="19"/>
    <d v="2020-05-11T00:00:00"/>
    <x v="2"/>
    <n v="38980"/>
    <x v="0"/>
  </r>
  <r>
    <n v="24154"/>
    <s v="Dan"/>
    <s v="Paige"/>
    <s v="India "/>
    <x v="1"/>
    <x v="1"/>
    <s v="60 50 01"/>
    <s v="dan.paige@gmail.com"/>
    <x v="2"/>
    <x v="32"/>
    <x v="20"/>
    <d v="2020-06-14T00:00:00"/>
    <x v="3"/>
    <n v="57999"/>
    <x v="0"/>
  </r>
  <r>
    <n v="20703"/>
    <s v="Richard"/>
    <s v="Stewart"/>
    <s v="India "/>
    <x v="0"/>
    <x v="0"/>
    <s v="81 31 08"/>
    <s v="richard.stewart@gmail.com"/>
    <x v="3"/>
    <x v="33"/>
    <x v="21"/>
    <d v="2020-03-04T00:00:00"/>
    <x v="7"/>
    <n v="36990"/>
    <x v="0"/>
  </r>
  <r>
    <n v="18659"/>
    <s v="Lily"/>
    <s v="Ellison"/>
    <s v="India "/>
    <x v="2"/>
    <x v="2"/>
    <s v="38 84 21"/>
    <s v="lily.ellison@gmail.com"/>
    <x v="4"/>
    <x v="34"/>
    <x v="21"/>
    <d v="2020-03-02T00:00:00"/>
    <x v="6"/>
    <n v="38980"/>
    <x v="0"/>
  </r>
  <r>
    <n v="18001"/>
    <s v="Victoria"/>
    <s v="Cornish"/>
    <s v="India "/>
    <x v="2"/>
    <x v="2"/>
    <s v="38 84 21"/>
    <s v="victoria.cornish@gmail.com"/>
    <x v="0"/>
    <x v="35"/>
    <x v="22"/>
    <d v="2020-01-09T00:00:00"/>
    <x v="1"/>
    <n v="66989"/>
    <x v="0"/>
  </r>
  <r>
    <n v="25486"/>
    <s v="John"/>
    <s v="Harris"/>
    <s v="India "/>
    <x v="3"/>
    <x v="3"/>
    <s v="11 00 07"/>
    <s v="john.harris@gmail.com"/>
    <x v="2"/>
    <x v="36"/>
    <x v="22"/>
    <d v="2020-01-02T00:00:00"/>
    <x v="3"/>
    <n v="57999"/>
    <x v="0"/>
  </r>
  <r>
    <n v="22683"/>
    <s v="Robert"/>
    <s v="Graham"/>
    <s v="India "/>
    <x v="0"/>
    <x v="0"/>
    <s v="81 31 08"/>
    <s v="robert.graham@gmail.com"/>
    <x v="4"/>
    <x v="37"/>
    <x v="22"/>
    <d v="2020-01-04T00:00:00"/>
    <x v="5"/>
    <n v="38980"/>
    <x v="0"/>
  </r>
  <r>
    <n v="24252"/>
    <s v="Tracey"/>
    <s v="Knox"/>
    <s v="India "/>
    <x v="1"/>
    <x v="1"/>
    <s v="60 50 01"/>
    <s v="tracey.knox@gmail.com"/>
    <x v="0"/>
    <x v="38"/>
    <x v="22"/>
    <d v="2020-01-09T00:00:00"/>
    <x v="7"/>
    <n v="66989"/>
    <x v="0"/>
  </r>
  <r>
    <n v="22872"/>
    <s v="Jane"/>
    <s v="Rees"/>
    <s v="India "/>
    <x v="0"/>
    <x v="0"/>
    <s v="81 31 08"/>
    <s v="jane.rees@gmail.com"/>
    <x v="1"/>
    <x v="39"/>
    <x v="23"/>
    <d v="2020-02-04T00:00:00"/>
    <x v="3"/>
    <n v="34690"/>
    <x v="0"/>
  </r>
  <r>
    <n v="13324"/>
    <s v="Liam"/>
    <s v="Gibson"/>
    <s v="India "/>
    <x v="2"/>
    <x v="2"/>
    <s v="38 84 21"/>
    <s v="liam.gibson@gmail.com"/>
    <x v="0"/>
    <x v="21"/>
    <x v="23"/>
    <d v="2020-02-04T00:00:00"/>
    <x v="2"/>
    <n v="66989"/>
    <x v="0"/>
  </r>
  <r>
    <n v="20849"/>
    <s v="Benjamin"/>
    <s v="Forsyth"/>
    <s v="India "/>
    <x v="2"/>
    <x v="2"/>
    <s v="38 84 21"/>
    <s v="benjamin.forsyth@gmail.com"/>
    <x v="1"/>
    <x v="40"/>
    <x v="24"/>
    <d v="2020-03-15T00:00:00"/>
    <x v="9"/>
    <n v="34690"/>
    <x v="0"/>
  </r>
  <r>
    <n v="25549"/>
    <s v="Amanda"/>
    <s v="MacLeod"/>
    <s v="India "/>
    <x v="1"/>
    <x v="1"/>
    <s v="60 50 01"/>
    <s v="amanda.macleod@gmail.com"/>
    <x v="2"/>
    <x v="41"/>
    <x v="23"/>
    <d v="2020-02-03T00:00:00"/>
    <x v="4"/>
    <n v="57999"/>
    <x v="0"/>
  </r>
  <r>
    <n v="23288"/>
    <s v="Jonathan"/>
    <s v="North"/>
    <s v="India "/>
    <x v="0"/>
    <x v="0"/>
    <s v="81 31 08"/>
    <s v="jonathan.north@gmail.com"/>
    <x v="3"/>
    <x v="42"/>
    <x v="25"/>
    <d v="2020-04-02T00:00:00"/>
    <x v="6"/>
    <n v="36990"/>
    <x v="0"/>
  </r>
  <r>
    <n v="22066"/>
    <s v="Ian"/>
    <s v="Knox"/>
    <s v="India "/>
    <x v="2"/>
    <x v="2"/>
    <s v="38 84 21"/>
    <s v="ian.knox@gmail.com"/>
    <x v="4"/>
    <x v="43"/>
    <x v="26"/>
    <d v="2020-06-08T00:00:00"/>
    <x v="6"/>
    <n v="38980"/>
    <x v="0"/>
  </r>
  <r>
    <n v="18456"/>
    <s v="Harry"/>
    <s v="Hart"/>
    <s v="India "/>
    <x v="2"/>
    <x v="2"/>
    <s v="38 84 21"/>
    <s v="harry.hart@gmail.com"/>
    <x v="0"/>
    <x v="44"/>
    <x v="27"/>
    <d v="2020-03-23T00:00:00"/>
    <x v="2"/>
    <n v="66989"/>
    <x v="0"/>
  </r>
  <r>
    <n v="16268"/>
    <s v="Carl"/>
    <s v="Russell"/>
    <s v="India "/>
    <x v="3"/>
    <x v="3"/>
    <s v="11 00 07"/>
    <s v="carl.russell@gmail.com"/>
    <x v="2"/>
    <x v="45"/>
    <x v="27"/>
    <d v="2020-03-25T00:00:00"/>
    <x v="5"/>
    <n v="57999"/>
    <x v="0"/>
  </r>
  <r>
    <n v="13680"/>
    <s v="Connor"/>
    <s v="Langdon"/>
    <s v="India "/>
    <x v="0"/>
    <x v="0"/>
    <s v="81 31 08"/>
    <s v="connor.langdon@gmail.com"/>
    <x v="4"/>
    <x v="46"/>
    <x v="28"/>
    <d v="2020-05-18T00:00:00"/>
    <x v="5"/>
    <n v="38980"/>
    <x v="0"/>
  </r>
  <r>
    <n v="17050"/>
    <s v="Matt"/>
    <s v="MacDonald"/>
    <s v="India "/>
    <x v="1"/>
    <x v="1"/>
    <s v="60 50 01"/>
    <s v="matt.macdonald@gmail.com"/>
    <x v="0"/>
    <x v="47"/>
    <x v="29"/>
    <d v="2020-02-20T00:00:00"/>
    <x v="8"/>
    <n v="66989"/>
    <x v="0"/>
  </r>
  <r>
    <n v="15729"/>
    <s v="Stewart"/>
    <s v="Fraser"/>
    <s v="India "/>
    <x v="0"/>
    <x v="0"/>
    <s v="81 31 08"/>
    <s v="stewart.fraser@gmail.com"/>
    <x v="1"/>
    <x v="48"/>
    <x v="30"/>
    <d v="2020-03-06T00:00:00"/>
    <x v="3"/>
    <n v="34690"/>
    <x v="0"/>
  </r>
  <r>
    <n v="14463"/>
    <s v="Joshua"/>
    <s v="Mitchell"/>
    <s v="India "/>
    <x v="2"/>
    <x v="2"/>
    <s v="38 84 21"/>
    <s v="joshua.mitchell@gmail.com"/>
    <x v="3"/>
    <x v="49"/>
    <x v="28"/>
    <d v="2020-05-19T00:00:00"/>
    <x v="2"/>
    <n v="36990"/>
    <x v="0"/>
  </r>
  <r>
    <n v="21779"/>
    <s v="Victoria"/>
    <s v="Randall"/>
    <s v="India "/>
    <x v="2"/>
    <x v="2"/>
    <s v="38 84 21"/>
    <s v="victoria.randall@gmail.com"/>
    <x v="0"/>
    <x v="34"/>
    <x v="28"/>
    <d v="2020-05-18T00:00:00"/>
    <x v="4"/>
    <n v="66989"/>
    <x v="0"/>
  </r>
  <r>
    <n v="13905"/>
    <s v="Victor"/>
    <s v="Burgess"/>
    <s v="India "/>
    <x v="3"/>
    <x v="3"/>
    <s v="11 00 07"/>
    <s v="victor.burgess@gmail.com"/>
    <x v="4"/>
    <x v="50"/>
    <x v="31"/>
    <d v="2020-06-09T00:00:00"/>
    <x v="7"/>
    <n v="38980"/>
    <x v="0"/>
  </r>
  <r>
    <n v="20401"/>
    <s v="Oliver"/>
    <s v="Mackay"/>
    <s v="India "/>
    <x v="0"/>
    <x v="0"/>
    <s v="81 31 08"/>
    <s v="oliver.mackay@gmail.com"/>
    <x v="2"/>
    <x v="51"/>
    <x v="32"/>
    <d v="2020-05-05T00:00:00"/>
    <x v="5"/>
    <n v="57999"/>
    <x v="0"/>
  </r>
  <r>
    <n v="13895"/>
    <s v="Ryan"/>
    <s v="Randall"/>
    <s v="India "/>
    <x v="1"/>
    <x v="1"/>
    <s v="60 50 01"/>
    <s v="ryan.randall@gmail.com"/>
    <x v="3"/>
    <x v="52"/>
    <x v="32"/>
    <d v="2020-05-05T00:00:00"/>
    <x v="3"/>
    <n v="36990"/>
    <x v="0"/>
  </r>
  <r>
    <n v="23212"/>
    <s v="James"/>
    <s v="Dickens"/>
    <s v="India "/>
    <x v="0"/>
    <x v="0"/>
    <s v="81 31 08"/>
    <s v="james.dickens@gmail.com"/>
    <x v="4"/>
    <x v="53"/>
    <x v="32"/>
    <d v="2020-05-05T00:00:00"/>
    <x v="6"/>
    <n v="38980"/>
    <x v="0"/>
  </r>
  <r>
    <n v="23338"/>
    <s v="Mary"/>
    <s v="Reid"/>
    <s v="India "/>
    <x v="2"/>
    <x v="2"/>
    <s v="38 84 21"/>
    <s v="mary.reid@gmail.com"/>
    <x v="0"/>
    <x v="54"/>
    <x v="32"/>
    <d v="2020-05-04T00:00:00"/>
    <x v="2"/>
    <n v="66989"/>
    <x v="0"/>
  </r>
  <r>
    <n v="20521"/>
    <s v="Thomas"/>
    <s v="Clarkson"/>
    <s v="India "/>
    <x v="2"/>
    <x v="2"/>
    <s v="38 84 21"/>
    <s v="thomas.clarkson@gmail.com"/>
    <x v="2"/>
    <x v="55"/>
    <x v="33"/>
    <d v="2020-06-24T00:00:00"/>
    <x v="6"/>
    <n v="57999"/>
    <x v="0"/>
  </r>
  <r>
    <n v="25561"/>
    <s v="Samantha"/>
    <s v="Ince"/>
    <s v="India "/>
    <x v="3"/>
    <x v="3"/>
    <s v="11 00 07"/>
    <s v="samantha.ince@gmail.com"/>
    <x v="4"/>
    <x v="56"/>
    <x v="34"/>
    <d v="2020-04-07T00:00:00"/>
    <x v="2"/>
    <n v="38980"/>
    <x v="0"/>
  </r>
  <r>
    <n v="15600"/>
    <s v="Nicholas"/>
    <s v="Clark"/>
    <s v="India "/>
    <x v="3"/>
    <x v="3"/>
    <s v="11 00 07"/>
    <s v="nicholas.clark@gmail.com"/>
    <x v="0"/>
    <x v="57"/>
    <x v="33"/>
    <d v="2020-06-24T00:00:00"/>
    <x v="4"/>
    <n v="66989"/>
    <x v="0"/>
  </r>
  <r>
    <n v="13401"/>
    <s v="Victoria"/>
    <s v="Mills"/>
    <s v="India "/>
    <x v="0"/>
    <x v="0"/>
    <s v="81 31 08"/>
    <s v="victoria.mills@gmail.com"/>
    <x v="1"/>
    <x v="58"/>
    <x v="33"/>
    <d v="2020-06-23T00:00:00"/>
    <x v="3"/>
    <n v="34690"/>
    <x v="0"/>
  </r>
  <r>
    <n v="20171"/>
    <s v="Joanne"/>
    <s v="Black"/>
    <s v="India "/>
    <x v="1"/>
    <x v="1"/>
    <s v="60 50 01"/>
    <s v="joanne.black@gmail.com"/>
    <x v="2"/>
    <x v="59"/>
    <x v="34"/>
    <d v="2020-04-07T00:00:00"/>
    <x v="0"/>
    <n v="57999"/>
    <x v="0"/>
  </r>
  <r>
    <n v="15788"/>
    <s v="Deirdre"/>
    <s v="Arnold"/>
    <s v="India "/>
    <x v="0"/>
    <x v="0"/>
    <s v="81 31 08"/>
    <s v="deirdre.arnold@gmail.com"/>
    <x v="3"/>
    <x v="60"/>
    <x v="33"/>
    <d v="2020-06-23T00:00:00"/>
    <x v="8"/>
    <n v="36990"/>
    <x v="0"/>
  </r>
  <r>
    <n v="24367"/>
    <s v="Joe"/>
    <s v="Hemmings"/>
    <s v="India "/>
    <x v="2"/>
    <x v="2"/>
    <s v="38 84 21"/>
    <s v="joe.hemmings@gmail.com"/>
    <x v="4"/>
    <x v="61"/>
    <x v="35"/>
    <d v="2020-01-04T00:00:00"/>
    <x v="8"/>
    <n v="38980"/>
    <x v="0"/>
  </r>
  <r>
    <n v="22645"/>
    <s v="Leonard"/>
    <s v="Metcalfe"/>
    <s v="India "/>
    <x v="2"/>
    <x v="2"/>
    <s v="38 84 21"/>
    <s v="leonard.metcalfe@gmail.com"/>
    <x v="0"/>
    <x v="62"/>
    <x v="36"/>
    <d v="2020-04-06T00:00:00"/>
    <x v="5"/>
    <n v="66989"/>
    <x v="0"/>
  </r>
  <r>
    <n v="15865"/>
    <s v="Anne"/>
    <s v="Chapman"/>
    <s v="India "/>
    <x v="3"/>
    <x v="3"/>
    <s v="11 00 07"/>
    <s v="anne.chapman@gmail.com"/>
    <x v="2"/>
    <x v="63"/>
    <x v="36"/>
    <d v="2020-04-06T00:00:00"/>
    <x v="5"/>
    <n v="57999"/>
    <x v="0"/>
  </r>
  <r>
    <n v="16197"/>
    <s v="Piers"/>
    <s v="Ross"/>
    <s v="India "/>
    <x v="0"/>
    <x v="0"/>
    <s v="81 31 08"/>
    <s v="piers.ross@gmail.com"/>
    <x v="3"/>
    <x v="64"/>
    <x v="37"/>
    <d v="2020-04-11T00:00:00"/>
    <x v="5"/>
    <n v="36990"/>
    <x v="0"/>
  </r>
  <r>
    <n v="17756"/>
    <s v="Joan"/>
    <s v="Short"/>
    <s v="India "/>
    <x v="3"/>
    <x v="3"/>
    <s v="11 00 07"/>
    <s v="joan.short@gmail.com"/>
    <x v="4"/>
    <x v="65"/>
    <x v="35"/>
    <d v="2020-01-04T00:00:00"/>
    <x v="0"/>
    <n v="38980"/>
    <x v="0"/>
  </r>
  <r>
    <n v="21170"/>
    <s v="Jonathan"/>
    <s v="Wilson"/>
    <s v="India "/>
    <x v="0"/>
    <x v="0"/>
    <s v="81 31 08"/>
    <s v="jonathan.wilson@gmail.com"/>
    <x v="0"/>
    <x v="66"/>
    <x v="36"/>
    <d v="2020-04-06T00:00:00"/>
    <x v="9"/>
    <n v="66989"/>
    <x v="0"/>
  </r>
  <r>
    <n v="21622"/>
    <s v="Isaac"/>
    <s v="Wright"/>
    <s v="India "/>
    <x v="1"/>
    <x v="1"/>
    <s v="60 50 01"/>
    <s v="isaac.wright@gmail.com"/>
    <x v="2"/>
    <x v="67"/>
    <x v="36"/>
    <d v="2020-04-06T00:00:00"/>
    <x v="9"/>
    <n v="57999"/>
    <x v="0"/>
  </r>
  <r>
    <n v="15133"/>
    <s v="Mary"/>
    <s v="Arnold"/>
    <s v="India "/>
    <x v="0"/>
    <x v="0"/>
    <s v="81 31 08"/>
    <s v="mary.arnold@gmail.com"/>
    <x v="4"/>
    <x v="68"/>
    <x v="37"/>
    <d v="2020-04-11T00:00:00"/>
    <x v="9"/>
    <n v="38980"/>
    <x v="0"/>
  </r>
  <r>
    <n v="25147"/>
    <s v="Max"/>
    <s v="Gill"/>
    <s v="India "/>
    <x v="2"/>
    <x v="2"/>
    <s v="38 84 21"/>
    <s v="max.gill@gmail.com"/>
    <x v="0"/>
    <x v="69"/>
    <x v="38"/>
    <d v="2020-01-13T00:00:00"/>
    <x v="2"/>
    <n v="66989"/>
    <x v="0"/>
  </r>
  <r>
    <n v="18772"/>
    <s v="Piers"/>
    <s v="Abraham"/>
    <s v="India "/>
    <x v="2"/>
    <x v="2"/>
    <s v="38 84 21"/>
    <s v="piers.abraham@gmail.com"/>
    <x v="1"/>
    <x v="70"/>
    <x v="38"/>
    <d v="2020-01-14T00:00:00"/>
    <x v="1"/>
    <n v="34690"/>
    <x v="0"/>
  </r>
  <r>
    <n v="16142"/>
    <s v="Dylan"/>
    <s v="Reid"/>
    <s v="India "/>
    <x v="3"/>
    <x v="3"/>
    <s v="11 00 07"/>
    <s v="dylan.reid@gmail.com"/>
    <x v="3"/>
    <x v="71"/>
    <x v="37"/>
    <d v="2020-04-10T00:00:00"/>
    <x v="7"/>
    <n v="36990"/>
    <x v="0"/>
  </r>
  <r>
    <n v="24011"/>
    <s v="Tim"/>
    <s v="Bower"/>
    <s v="India "/>
    <x v="0"/>
    <x v="0"/>
    <s v="81 31 08"/>
    <s v="tim.bower@gmail.com"/>
    <x v="0"/>
    <x v="72"/>
    <x v="39"/>
    <d v="2020-01-28T00:00:00"/>
    <x v="9"/>
    <n v="66989"/>
    <x v="0"/>
  </r>
  <r>
    <n v="22213"/>
    <s v="Max"/>
    <s v="King"/>
    <s v="India "/>
    <x v="1"/>
    <x v="1"/>
    <s v="60 50 01"/>
    <s v="max.king@gmail.com"/>
    <x v="4"/>
    <x v="73"/>
    <x v="40"/>
    <d v="2020-05-26T00:00:00"/>
    <x v="9"/>
    <n v="38980"/>
    <x v="0"/>
  </r>
  <r>
    <n v="15893"/>
    <s v="Stewart"/>
    <s v="Peake"/>
    <s v="India "/>
    <x v="0"/>
    <x v="0"/>
    <s v="81 31 08"/>
    <s v="stewart.peake@gmail.com"/>
    <x v="2"/>
    <x v="70"/>
    <x v="41"/>
    <d v="2020-05-17T00:00:00"/>
    <x v="6"/>
    <n v="57999"/>
    <x v="0"/>
  </r>
  <r>
    <n v="15286"/>
    <s v="Olivia"/>
    <s v="Gray"/>
    <s v="India "/>
    <x v="2"/>
    <x v="2"/>
    <s v="38 84 21"/>
    <s v="olivia.gray@gmail.com"/>
    <x v="3"/>
    <x v="12"/>
    <x v="41"/>
    <d v="2020-05-17T00:00:00"/>
    <x v="8"/>
    <n v="36990"/>
    <x v="0"/>
  </r>
  <r>
    <n v="14634"/>
    <s v="Olivia"/>
    <s v="Hudson"/>
    <s v="India "/>
    <x v="2"/>
    <x v="2"/>
    <s v="38 84 21"/>
    <s v="olivia.hudson@gmail.com"/>
    <x v="4"/>
    <x v="74"/>
    <x v="42"/>
    <d v="2020-06-03T00:00:00"/>
    <x v="9"/>
    <n v="38980"/>
    <x v="0"/>
  </r>
  <r>
    <n v="17360"/>
    <s v="Rebecca"/>
    <s v="Thomson"/>
    <s v="India "/>
    <x v="3"/>
    <x v="3"/>
    <s v="11 00 07"/>
    <s v="rebecca.thomson@gmail.com"/>
    <x v="0"/>
    <x v="75"/>
    <x v="42"/>
    <d v="2020-06-03T00:00:00"/>
    <x v="9"/>
    <n v="66989"/>
    <x v="0"/>
  </r>
  <r>
    <n v="21325"/>
    <s v="Dylan"/>
    <s v="Cornish"/>
    <s v="India "/>
    <x v="0"/>
    <x v="0"/>
    <s v="81 31 08"/>
    <s v="dylan.cornish@gmail.com"/>
    <x v="2"/>
    <x v="76"/>
    <x v="43"/>
    <d v="2020-01-17T00:00:00"/>
    <x v="4"/>
    <n v="57999"/>
    <x v="0"/>
  </r>
  <r>
    <n v="19763"/>
    <s v="Kevin"/>
    <s v="Langdon"/>
    <s v="India "/>
    <x v="1"/>
    <x v="1"/>
    <s v="60 50 01"/>
    <s v="kevin.langdon@gmail.com"/>
    <x v="4"/>
    <x v="77"/>
    <x v="44"/>
    <d v="2020-03-16T00:00:00"/>
    <x v="3"/>
    <n v="38980"/>
    <x v="0"/>
  </r>
  <r>
    <n v="21112"/>
    <s v="Wendy"/>
    <s v="Morgan"/>
    <s v="India "/>
    <x v="0"/>
    <x v="0"/>
    <s v="81 31 08"/>
    <s v="wendy.morgan@gmail.com"/>
    <x v="0"/>
    <x v="78"/>
    <x v="14"/>
    <d v="2020-03-13T00:00:00"/>
    <x v="6"/>
    <n v="66989"/>
    <x v="0"/>
  </r>
  <r>
    <n v="15027"/>
    <s v="Ryan"/>
    <s v="Young"/>
    <s v="India "/>
    <x v="2"/>
    <x v="2"/>
    <s v="38 84 21"/>
    <s v="ryan.young@gmail.com"/>
    <x v="1"/>
    <x v="79"/>
    <x v="45"/>
    <d v="2020-04-24T00:00:00"/>
    <x v="1"/>
    <n v="34690"/>
    <x v="0"/>
  </r>
  <r>
    <n v="13006"/>
    <s v="Tracey"/>
    <s v="Abraham"/>
    <s v="India "/>
    <x v="2"/>
    <x v="2"/>
    <s v="38 84 21"/>
    <s v="tracey.abraham@gmail.com"/>
    <x v="2"/>
    <x v="80"/>
    <x v="46"/>
    <d v="2020-01-23T00:00:00"/>
    <x v="7"/>
    <n v="57999"/>
    <x v="0"/>
  </r>
  <r>
    <n v="15885"/>
    <s v="Sonia"/>
    <s v="Pullman"/>
    <s v="India "/>
    <x v="3"/>
    <x v="3"/>
    <s v="11 00 07"/>
    <s v="sonia.pullman@gmail.com"/>
    <x v="3"/>
    <x v="81"/>
    <x v="18"/>
    <d v="2020-04-22T00:00:00"/>
    <x v="4"/>
    <n v="36990"/>
    <x v="0"/>
  </r>
  <r>
    <n v="22198"/>
    <s v="Alan"/>
    <s v="Hunter"/>
    <s v="India "/>
    <x v="3"/>
    <x v="3"/>
    <s v="11 00 07"/>
    <s v="alan.hunter@gmail.com"/>
    <x v="4"/>
    <x v="82"/>
    <x v="43"/>
    <d v="2020-01-16T00:00:00"/>
    <x v="7"/>
    <n v="38980"/>
    <x v="0"/>
  </r>
  <r>
    <n v="13789"/>
    <s v="Keith"/>
    <s v="Cameron"/>
    <s v="India "/>
    <x v="0"/>
    <x v="0"/>
    <s v="81 31 08"/>
    <s v="keith.cameron@gmail.com"/>
    <x v="0"/>
    <x v="83"/>
    <x v="47"/>
    <d v="2020-04-26T00:00:00"/>
    <x v="4"/>
    <n v="66989"/>
    <x v="0"/>
  </r>
  <r>
    <n v="18521"/>
    <s v="Heather"/>
    <s v="Slater"/>
    <s v="India "/>
    <x v="1"/>
    <x v="1"/>
    <s v="60 50 01"/>
    <s v="heather.slater@gmail.com"/>
    <x v="2"/>
    <x v="84"/>
    <x v="48"/>
    <d v="2020-04-01T00:00:00"/>
    <x v="9"/>
    <n v="57999"/>
    <x v="0"/>
  </r>
  <r>
    <n v="20280"/>
    <s v="Warren"/>
    <s v="Bower"/>
    <s v="India "/>
    <x v="0"/>
    <x v="0"/>
    <s v="81 31 08"/>
    <s v="warren.bower@gmail.com"/>
    <x v="4"/>
    <x v="85"/>
    <x v="49"/>
    <d v="2020-06-22T00:00:00"/>
    <x v="0"/>
    <n v="38980"/>
    <x v="0"/>
  </r>
  <r>
    <n v="22696"/>
    <s v="Carl"/>
    <s v="Avery"/>
    <s v="India "/>
    <x v="2"/>
    <x v="2"/>
    <s v="38 84 21"/>
    <s v="carl.avery@gmail.com"/>
    <x v="0"/>
    <x v="86"/>
    <x v="50"/>
    <d v="2020-05-15T00:00:00"/>
    <x v="0"/>
    <n v="66989"/>
    <x v="0"/>
  </r>
  <r>
    <n v="17620"/>
    <s v="Diana"/>
    <s v="Dowd"/>
    <s v="India "/>
    <x v="2"/>
    <x v="2"/>
    <s v="38 84 21"/>
    <s v="diana.dowd@gmail.com"/>
    <x v="1"/>
    <x v="87"/>
    <x v="51"/>
    <d v="2020-01-26T00:00:00"/>
    <x v="2"/>
    <n v="34690"/>
    <x v="0"/>
  </r>
  <r>
    <n v="13339"/>
    <s v="Deirdre"/>
    <s v="Langdon"/>
    <s v="India "/>
    <x v="3"/>
    <x v="3"/>
    <s v="11 00 07"/>
    <s v="deirdre.langdon@gmail.com"/>
    <x v="3"/>
    <x v="88"/>
    <x v="22"/>
    <d v="2020-01-04T00:00:00"/>
    <x v="0"/>
    <n v="36990"/>
    <x v="0"/>
  </r>
  <r>
    <n v="25096"/>
    <s v="Neil"/>
    <s v="Campbell"/>
    <s v="India "/>
    <x v="0"/>
    <x v="0"/>
    <s v="81 31 08"/>
    <s v="neil.campbell@gmail.com"/>
    <x v="0"/>
    <x v="89"/>
    <x v="22"/>
    <d v="2020-01-03T00:00:00"/>
    <x v="7"/>
    <n v="66989"/>
    <x v="0"/>
  </r>
  <r>
    <n v="21959"/>
    <s v="Joe"/>
    <s v="Metcalfe"/>
    <s v="India "/>
    <x v="1"/>
    <x v="1"/>
    <s v="60 50 01"/>
    <s v="joe.metcalfe@gmail.com"/>
    <x v="4"/>
    <x v="90"/>
    <x v="52"/>
    <d v="2020-01-18T00:00:00"/>
    <x v="1"/>
    <n v="38980"/>
    <x v="0"/>
  </r>
  <r>
    <n v="12670"/>
    <s v="Dorothy"/>
    <s v="Ince"/>
    <s v="India "/>
    <x v="0"/>
    <x v="0"/>
    <s v="81 31 08"/>
    <s v="dorothy.ince@gmail.com"/>
    <x v="2"/>
    <x v="91"/>
    <x v="35"/>
    <d v="2020-01-05T00:00:00"/>
    <x v="6"/>
    <n v="57999"/>
    <x v="0"/>
  </r>
  <r>
    <n v="25589"/>
    <s v="Chloe"/>
    <s v="Scott"/>
    <s v="India "/>
    <x v="2"/>
    <x v="2"/>
    <s v="38 84 21"/>
    <s v="chloe.scott@gmail.com"/>
    <x v="3"/>
    <x v="92"/>
    <x v="35"/>
    <d v="2020-01-10T00:00:00"/>
    <x v="8"/>
    <n v="36990"/>
    <x v="0"/>
  </r>
  <r>
    <n v="18955"/>
    <s v="Piers"/>
    <s v="Hunter"/>
    <s v="India "/>
    <x v="2"/>
    <x v="2"/>
    <s v="38 84 21"/>
    <s v="piers.hunter@gmail.com"/>
    <x v="4"/>
    <x v="93"/>
    <x v="35"/>
    <d v="2020-01-07T00:00:00"/>
    <x v="7"/>
    <n v="38980"/>
    <x v="0"/>
  </r>
  <r>
    <n v="21393"/>
    <s v="Warren"/>
    <s v="Blake"/>
    <s v="India "/>
    <x v="3"/>
    <x v="3"/>
    <s v="11 00 07"/>
    <s v="warren.blake@gmail.com"/>
    <x v="0"/>
    <x v="94"/>
    <x v="53"/>
    <d v="2020-04-15T00:00:00"/>
    <x v="1"/>
    <n v="66989"/>
    <x v="0"/>
  </r>
  <r>
    <n v="25165"/>
    <s v="Irene"/>
    <s v="Bower"/>
    <s v="India "/>
    <x v="0"/>
    <x v="0"/>
    <s v="81 31 08"/>
    <s v="irene.bower@gmail.com"/>
    <x v="2"/>
    <x v="95"/>
    <x v="54"/>
    <d v="2020-02-21T00:00:00"/>
    <x v="7"/>
    <n v="57999"/>
    <x v="0"/>
  </r>
  <r>
    <n v="17461"/>
    <s v="Carl"/>
    <s v="MacDonald"/>
    <s v="India "/>
    <x v="1"/>
    <x v="1"/>
    <s v="60 50 01"/>
    <s v="carl.macdonald@gmail.com"/>
    <x v="4"/>
    <x v="96"/>
    <x v="55"/>
    <d v="2020-05-23T00:00:00"/>
    <x v="2"/>
    <n v="38980"/>
    <x v="0"/>
  </r>
  <r>
    <n v="20581"/>
    <s v="Emma"/>
    <s v="Young"/>
    <s v="India "/>
    <x v="0"/>
    <x v="0"/>
    <s v="81 31 08"/>
    <s v="emma.young@gmail.com"/>
    <x v="0"/>
    <x v="97"/>
    <x v="54"/>
    <d v="2020-02-21T00:00:00"/>
    <x v="3"/>
    <n v="66989"/>
    <x v="0"/>
  </r>
  <r>
    <n v="24967"/>
    <s v="Thomas"/>
    <s v="Cornish"/>
    <s v="India "/>
    <x v="2"/>
    <x v="2"/>
    <s v="38 84 21"/>
    <s v="thomas.cornish@gmail.com"/>
    <x v="1"/>
    <x v="98"/>
    <x v="55"/>
    <d v="2020-05-22T00:00:00"/>
    <x v="8"/>
    <n v="34690"/>
    <x v="0"/>
  </r>
  <r>
    <n v="12801"/>
    <s v="Abigail"/>
    <s v="Clark"/>
    <s v="India "/>
    <x v="2"/>
    <x v="2"/>
    <s v="38 84 21"/>
    <s v="abigail.clark@gmail.com"/>
    <x v="0"/>
    <x v="99"/>
    <x v="55"/>
    <d v="2020-05-23T00:00:00"/>
    <x v="1"/>
    <n v="66989"/>
    <x v="0"/>
  </r>
  <r>
    <n v="24513"/>
    <s v="Amelia"/>
    <s v="Lambert"/>
    <s v="India "/>
    <x v="1"/>
    <x v="1"/>
    <s v="60 50 01"/>
    <s v="amelia.lambert@gmail.com"/>
    <x v="1"/>
    <x v="100"/>
    <x v="6"/>
    <d v="2020-02-13T00:00:00"/>
    <x v="1"/>
    <n v="34690"/>
    <x v="0"/>
  </r>
  <r>
    <n v="19752"/>
    <s v="Anne"/>
    <s v="Lee"/>
    <s v="India "/>
    <x v="0"/>
    <x v="0"/>
    <s v="81 31 08"/>
    <s v="anne.lee@gmail.com"/>
    <x v="2"/>
    <x v="101"/>
    <x v="6"/>
    <d v="2020-02-15T00:00:00"/>
    <x v="5"/>
    <n v="57999"/>
    <x v="0"/>
  </r>
  <r>
    <n v="12954"/>
    <s v="Joan"/>
    <s v="Taylor"/>
    <s v="India "/>
    <x v="2"/>
    <x v="2"/>
    <s v="38 84 21"/>
    <s v="joan.taylor@gmail.com"/>
    <x v="3"/>
    <x v="102"/>
    <x v="37"/>
    <d v="2020-04-11T00:00:00"/>
    <x v="5"/>
    <n v="36990"/>
    <x v="0"/>
  </r>
  <r>
    <n v="16063"/>
    <s v="Joshua"/>
    <s v="Johnston"/>
    <s v="India "/>
    <x v="2"/>
    <x v="2"/>
    <s v="38 84 21"/>
    <s v="joshua.johnston@gmail.com"/>
    <x v="4"/>
    <x v="103"/>
    <x v="37"/>
    <d v="2020-04-09T00:00:00"/>
    <x v="4"/>
    <n v="38980"/>
    <x v="0"/>
  </r>
  <r>
    <n v="14206"/>
    <s v="Alan"/>
    <s v="Skinner"/>
    <s v="India "/>
    <x v="3"/>
    <x v="3"/>
    <s v="11 00 07"/>
    <s v="alan.skinner@gmail.com"/>
    <x v="0"/>
    <x v="104"/>
    <x v="37"/>
    <d v="2020-04-10T00:00:00"/>
    <x v="4"/>
    <n v="66989"/>
    <x v="0"/>
  </r>
  <r>
    <n v="17253"/>
    <s v="Eric"/>
    <s v="Wallace"/>
    <s v="India "/>
    <x v="0"/>
    <x v="0"/>
    <s v="81 31 08"/>
    <s v="eric.wallace@gmail.com"/>
    <x v="2"/>
    <x v="105"/>
    <x v="35"/>
    <d v="2020-01-05T00:00:00"/>
    <x v="2"/>
    <n v="57999"/>
    <x v="0"/>
  </r>
  <r>
    <n v="18940"/>
    <s v="Justin"/>
    <s v="Murray"/>
    <s v="India "/>
    <x v="1"/>
    <x v="1"/>
    <s v="60 50 01"/>
    <s v="justin.murray@gmail.com"/>
    <x v="4"/>
    <x v="106"/>
    <x v="25"/>
    <d v="2020-04-01T00:00:00"/>
    <x v="2"/>
    <n v="38980"/>
    <x v="0"/>
  </r>
  <r>
    <n v="20283"/>
    <s v="Heather"/>
    <s v="Hudson"/>
    <s v="India "/>
    <x v="0"/>
    <x v="0"/>
    <s v="81 31 08"/>
    <s v="heather.hudson@gmail.com"/>
    <x v="0"/>
    <x v="107"/>
    <x v="56"/>
    <d v="2020-01-11T00:00:00"/>
    <x v="1"/>
    <n v="66989"/>
    <x v="0"/>
  </r>
  <r>
    <n v="18690"/>
    <s v="Andrew"/>
    <s v="Ellison"/>
    <s v="India "/>
    <x v="2"/>
    <x v="2"/>
    <s v="38 84 21"/>
    <s v="andrew.ellison@gmail.com"/>
    <x v="1"/>
    <x v="108"/>
    <x v="25"/>
    <d v="2020-04-01T00:00:00"/>
    <x v="9"/>
    <n v="34690"/>
    <x v="0"/>
  </r>
  <r>
    <n v="25256"/>
    <s v="Isaac"/>
    <s v="Howard"/>
    <s v="India "/>
    <x v="2"/>
    <x v="2"/>
    <s v="38 84 21"/>
    <s v="isaac.howard@gmail.com"/>
    <x v="3"/>
    <x v="109"/>
    <x v="57"/>
    <d v="2020-04-04T00:00:00"/>
    <x v="5"/>
    <n v="36990"/>
    <x v="0"/>
  </r>
  <r>
    <n v="21441"/>
    <s v="Una"/>
    <s v="Manning"/>
    <s v="India "/>
    <x v="3"/>
    <x v="3"/>
    <s v="11 00 07"/>
    <s v="una.manning@gmail.com"/>
    <x v="0"/>
    <x v="110"/>
    <x v="57"/>
    <d v="2020-04-04T00:00:00"/>
    <x v="5"/>
    <n v="66989"/>
    <x v="0"/>
  </r>
  <r>
    <n v="24863"/>
    <s v="Adam"/>
    <s v="Duncan"/>
    <s v="India "/>
    <x v="0"/>
    <x v="0"/>
    <s v="81 31 08"/>
    <s v="adam.duncan@gmail.com"/>
    <x v="4"/>
    <x v="79"/>
    <x v="58"/>
    <d v="2020-04-28T00:00:00"/>
    <x v="3"/>
    <n v="38980"/>
    <x v="0"/>
  </r>
  <r>
    <n v="24048"/>
    <s v="Lily"/>
    <s v="Ball"/>
    <s v="India "/>
    <x v="1"/>
    <x v="1"/>
    <s v="60 50 01"/>
    <s v="lily.ball@gmail.com"/>
    <x v="3"/>
    <x v="111"/>
    <x v="59"/>
    <d v="2020-01-18T00:00:00"/>
    <x v="5"/>
    <n v="36990"/>
    <x v="0"/>
  </r>
  <r>
    <n v="13748"/>
    <s v="Gavin"/>
    <s v="Forsyth"/>
    <s v="India "/>
    <x v="0"/>
    <x v="0"/>
    <s v="81 31 08"/>
    <s v="gavin.forsyth@gmail.com"/>
    <x v="4"/>
    <x v="112"/>
    <x v="60"/>
    <d v="2020-01-21T00:00:00"/>
    <x v="3"/>
    <n v="38980"/>
    <x v="0"/>
  </r>
  <r>
    <n v="25125"/>
    <s v="Julia"/>
    <s v="Alsop"/>
    <s v="India "/>
    <x v="2"/>
    <x v="2"/>
    <s v="38 84 21"/>
    <s v="julia.alsop@gmail.com"/>
    <x v="0"/>
    <x v="113"/>
    <x v="42"/>
    <d v="2020-06-02T00:00:00"/>
    <x v="2"/>
    <n v="66989"/>
    <x v="0"/>
  </r>
  <r>
    <n v="16719"/>
    <s v="Abigail"/>
    <s v="Arnold"/>
    <s v="India "/>
    <x v="2"/>
    <x v="2"/>
    <s v="38 84 21"/>
    <s v="abigail.arnold@gmail.com"/>
    <x v="2"/>
    <x v="114"/>
    <x v="42"/>
    <d v="2020-06-02T00:00:00"/>
    <x v="0"/>
    <n v="57999"/>
    <x v="0"/>
  </r>
  <r>
    <n v="16256"/>
    <s v="Leonard"/>
    <s v="Dickens"/>
    <s v="India "/>
    <x v="3"/>
    <x v="3"/>
    <s v="11 00 07"/>
    <s v="leonard.dickens@gmail.com"/>
    <x v="4"/>
    <x v="115"/>
    <x v="3"/>
    <d v="2020-05-13T00:00:00"/>
    <x v="8"/>
    <n v="38980"/>
    <x v="0"/>
  </r>
  <r>
    <n v="21026"/>
    <s v="Wendy"/>
    <s v="Langdon"/>
    <s v="India "/>
    <x v="3"/>
    <x v="3"/>
    <s v="11 00 07"/>
    <s v="wendy.langdon@gmail.com"/>
    <x v="0"/>
    <x v="116"/>
    <x v="4"/>
    <d v="2020-04-09T00:00:00"/>
    <x v="8"/>
    <n v="66989"/>
    <x v="0"/>
  </r>
  <r>
    <n v="16701"/>
    <s v="Ava"/>
    <s v="McDonald"/>
    <s v="India "/>
    <x v="0"/>
    <x v="0"/>
    <s v="81 31 08"/>
    <s v="ava.mcdonald@gmail.com"/>
    <x v="1"/>
    <x v="117"/>
    <x v="5"/>
    <d v="2020-05-28T00:00:00"/>
    <x v="8"/>
    <n v="34690"/>
    <x v="0"/>
  </r>
  <r>
    <n v="21583"/>
    <s v="Steven"/>
    <s v="Graham"/>
    <s v="India "/>
    <x v="1"/>
    <x v="1"/>
    <s v="60 50 01"/>
    <s v="steven.graham@gmail.com"/>
    <x v="3"/>
    <x v="12"/>
    <x v="6"/>
    <d v="2020-02-15T00:00:00"/>
    <x v="6"/>
    <n v="36990"/>
    <x v="0"/>
  </r>
  <r>
    <n v="17298"/>
    <s v="Nicholas"/>
    <s v="Arnold"/>
    <s v="India "/>
    <x v="0"/>
    <x v="0"/>
    <s v="81 31 08"/>
    <s v="nicholas.arnold@gmail.com"/>
    <x v="0"/>
    <x v="118"/>
    <x v="6"/>
    <d v="2020-02-14T00:00:00"/>
    <x v="0"/>
    <n v="66989"/>
    <x v="0"/>
  </r>
  <r>
    <n v="18655"/>
    <s v="Nathan"/>
    <s v="Hemmings"/>
    <s v="India "/>
    <x v="2"/>
    <x v="2"/>
    <s v="38 84 21"/>
    <s v="nathan.hemmings@gmail.com"/>
    <x v="4"/>
    <x v="119"/>
    <x v="7"/>
    <d v="2020-05-16T00:00:00"/>
    <x v="4"/>
    <n v="38980"/>
    <x v="0"/>
  </r>
  <r>
    <n v="14705"/>
    <s v="David"/>
    <s v="Piper"/>
    <s v="India "/>
    <x v="2"/>
    <x v="2"/>
    <s v="38 84 21"/>
    <s v="david.piper@gmail.com"/>
    <x v="2"/>
    <x v="120"/>
    <x v="8"/>
    <d v="2020-05-23T00:00:00"/>
    <x v="2"/>
    <n v="57999"/>
    <x v="0"/>
  </r>
  <r>
    <n v="14044"/>
    <s v="Sarah"/>
    <s v="Morrison"/>
    <s v="India "/>
    <x v="3"/>
    <x v="3"/>
    <s v="11 00 07"/>
    <s v="sarah.morrison@gmail.com"/>
    <x v="3"/>
    <x v="121"/>
    <x v="7"/>
    <d v="2020-05-16T00:00:00"/>
    <x v="3"/>
    <n v="36990"/>
    <x v="0"/>
  </r>
  <r>
    <n v="24696"/>
    <s v="Sally"/>
    <s v="Lawrence"/>
    <s v="India "/>
    <x v="0"/>
    <x v="0"/>
    <s v="81 31 08"/>
    <s v="sally.lawrence@gmail.com"/>
    <x v="4"/>
    <x v="122"/>
    <x v="8"/>
    <d v="2020-05-22T00:00:00"/>
    <x v="7"/>
    <n v="38980"/>
    <x v="0"/>
  </r>
  <r>
    <n v="24781"/>
    <s v="Isaac"/>
    <s v="Berry"/>
    <s v="India "/>
    <x v="1"/>
    <x v="1"/>
    <s v="60 50 01"/>
    <s v="isaac.berry@gmail.com"/>
    <x v="0"/>
    <x v="123"/>
    <x v="8"/>
    <d v="2020-05-23T00:00:00"/>
    <x v="5"/>
    <n v="66989"/>
    <x v="0"/>
  </r>
  <r>
    <n v="17375"/>
    <s v="Cameron"/>
    <s v="Lawrence"/>
    <s v="India "/>
    <x v="0"/>
    <x v="0"/>
    <s v="81 31 08"/>
    <s v="cameron.lawrence@gmail.com"/>
    <x v="2"/>
    <x v="124"/>
    <x v="9"/>
    <d v="2020-01-29T00:00:00"/>
    <x v="6"/>
    <n v="57999"/>
    <x v="0"/>
  </r>
  <r>
    <n v="12726"/>
    <s v="Justin"/>
    <s v="Peters"/>
    <s v="India "/>
    <x v="2"/>
    <x v="2"/>
    <s v="38 84 21"/>
    <s v="justin.peters@gmail.com"/>
    <x v="4"/>
    <x v="125"/>
    <x v="9"/>
    <d v="2020-01-30T00:00:00"/>
    <x v="8"/>
    <n v="38980"/>
    <x v="0"/>
  </r>
  <r>
    <n v="16451"/>
    <s v="Neil"/>
    <s v="Lewis"/>
    <s v="India "/>
    <x v="2"/>
    <x v="2"/>
    <s v="38 84 21"/>
    <s v="neil.lewis@gmail.com"/>
    <x v="0"/>
    <x v="126"/>
    <x v="10"/>
    <d v="2020-05-04T00:00:00"/>
    <x v="7"/>
    <n v="66989"/>
    <x v="0"/>
  </r>
  <r>
    <n v="13368"/>
    <s v="Michelle"/>
    <s v="Gibson"/>
    <s v="India "/>
    <x v="3"/>
    <x v="3"/>
    <s v="11 00 07"/>
    <s v="michelle.gibson@gmail.com"/>
    <x v="1"/>
    <x v="39"/>
    <x v="11"/>
    <d v="2020-02-23T00:00:00"/>
    <x v="7"/>
    <n v="34690"/>
    <x v="0"/>
  </r>
  <r>
    <n v="16722"/>
    <s v="Claire"/>
    <s v="Rampling"/>
    <s v="India "/>
    <x v="0"/>
    <x v="0"/>
    <s v="81 31 08"/>
    <s v="claire.rampling@gmail.com"/>
    <x v="2"/>
    <x v="127"/>
    <x v="12"/>
    <d v="2020-03-28T00:00:00"/>
    <x v="4"/>
    <n v="57999"/>
    <x v="0"/>
  </r>
  <r>
    <n v="24446"/>
    <s v="Sean"/>
    <s v="Nolan"/>
    <s v="India "/>
    <x v="3"/>
    <x v="3"/>
    <s v="11 00 07"/>
    <s v="sean.nolan@gmail.com"/>
    <x v="3"/>
    <x v="128"/>
    <x v="13"/>
    <d v="2020-01-22T00:00:00"/>
    <x v="5"/>
    <n v="36990"/>
    <x v="0"/>
  </r>
  <r>
    <n v="19623"/>
    <s v="Anne"/>
    <s v="Powell"/>
    <s v="India "/>
    <x v="0"/>
    <x v="0"/>
    <s v="81 31 08"/>
    <s v="anne.powell@gmail.com"/>
    <x v="4"/>
    <x v="129"/>
    <x v="14"/>
    <d v="2020-03-19T00:00:00"/>
    <x v="0"/>
    <n v="38980"/>
    <x v="0"/>
  </r>
  <r>
    <n v="18653"/>
    <s v="Bernadette"/>
    <s v="Stewart"/>
    <s v="India "/>
    <x v="1"/>
    <x v="1"/>
    <s v="60 50 01"/>
    <s v="bernadette.stewart@gmail.com"/>
    <x v="0"/>
    <x v="82"/>
    <x v="15"/>
    <d v="2020-06-17T00:00:00"/>
    <x v="7"/>
    <n v="66989"/>
    <x v="0"/>
  </r>
  <r>
    <n v="23317"/>
    <s v="Lucas"/>
    <s v="Dyer"/>
    <s v="India "/>
    <x v="0"/>
    <x v="0"/>
    <s v="81 31 08"/>
    <s v="lucas.dyer@gmail.com"/>
    <x v="2"/>
    <x v="130"/>
    <x v="15"/>
    <d v="2020-06-16T00:00:00"/>
    <x v="2"/>
    <n v="57999"/>
    <x v="0"/>
  </r>
  <r>
    <n v="18924"/>
    <s v="Trevor"/>
    <s v="Graham"/>
    <s v="India "/>
    <x v="2"/>
    <x v="2"/>
    <s v="38 84 21"/>
    <s v="trevor.graham@gmail.com"/>
    <x v="4"/>
    <x v="131"/>
    <x v="16"/>
    <d v="2020-05-11T00:00:00"/>
    <x v="3"/>
    <n v="38980"/>
    <x v="0"/>
  </r>
  <r>
    <n v="17061"/>
    <s v="Vanessa"/>
    <s v="Lawrence"/>
    <s v="India "/>
    <x v="2"/>
    <x v="2"/>
    <s v="38 84 21"/>
    <s v="vanessa.lawrence@gmail.com"/>
    <x v="0"/>
    <x v="132"/>
    <x v="17"/>
    <d v="2020-03-10T00:00:00"/>
    <x v="8"/>
    <n v="66989"/>
    <x v="0"/>
  </r>
  <r>
    <n v="19458"/>
    <s v="Deirdre"/>
    <s v="Duncan"/>
    <s v="India "/>
    <x v="3"/>
    <x v="3"/>
    <s v="11 00 07"/>
    <s v="deirdre.duncan@gmail.com"/>
    <x v="1"/>
    <x v="16"/>
    <x v="9"/>
    <d v="2020-01-30T00:00:00"/>
    <x v="9"/>
    <n v="34690"/>
    <x v="0"/>
  </r>
  <r>
    <n v="21427"/>
    <s v="Brian"/>
    <s v="Hill"/>
    <s v="India "/>
    <x v="0"/>
    <x v="0"/>
    <s v="81 31 08"/>
    <s v="brian.hill@gmail.com"/>
    <x v="3"/>
    <x v="133"/>
    <x v="17"/>
    <d v="2020-03-11T00:00:00"/>
    <x v="5"/>
    <n v="36990"/>
    <x v="0"/>
  </r>
  <r>
    <n v="23937"/>
    <s v="Jessica"/>
    <s v="Cameron"/>
    <s v="India "/>
    <x v="1"/>
    <x v="1"/>
    <s v="60 50 01"/>
    <s v="jessica.cameron@gmail.com"/>
    <x v="0"/>
    <x v="134"/>
    <x v="18"/>
    <d v="2020-04-21T00:00:00"/>
    <x v="3"/>
    <n v="66989"/>
    <x v="0"/>
  </r>
  <r>
    <n v="25543"/>
    <s v="Michelle"/>
    <s v="Rees"/>
    <s v="India "/>
    <x v="0"/>
    <x v="0"/>
    <s v="81 31 08"/>
    <s v="michelle.rees@gmail.com"/>
    <x v="4"/>
    <x v="135"/>
    <x v="18"/>
    <d v="2020-04-21T00:00:00"/>
    <x v="1"/>
    <n v="38980"/>
    <x v="0"/>
  </r>
  <r>
    <n v="23164"/>
    <s v="Yvonne"/>
    <s v="Kerr"/>
    <s v="India "/>
    <x v="2"/>
    <x v="2"/>
    <s v="38 84 21"/>
    <s v="yvonne.kerr@gmail.com"/>
    <x v="2"/>
    <x v="136"/>
    <x v="19"/>
    <d v="2020-05-11T00:00:00"/>
    <x v="8"/>
    <n v="57999"/>
    <x v="0"/>
  </r>
  <r>
    <n v="14019"/>
    <s v="Emma"/>
    <s v="Piper"/>
    <s v="India "/>
    <x v="2"/>
    <x v="2"/>
    <s v="38 84 21"/>
    <s v="emma.piper@gmail.com"/>
    <x v="3"/>
    <x v="137"/>
    <x v="20"/>
    <d v="2020-06-14T00:00:00"/>
    <x v="7"/>
    <n v="36990"/>
    <x v="0"/>
  </r>
  <r>
    <n v="16273"/>
    <s v="Eric"/>
    <s v="Chapman"/>
    <s v="India "/>
    <x v="3"/>
    <x v="3"/>
    <s v="11 00 07"/>
    <s v="eric.chapman@gmail.com"/>
    <x v="4"/>
    <x v="138"/>
    <x v="21"/>
    <d v="2020-03-04T00:00:00"/>
    <x v="2"/>
    <n v="38980"/>
    <x v="0"/>
  </r>
  <r>
    <n v="22228"/>
    <s v="David"/>
    <s v="Stewart"/>
    <s v="India "/>
    <x v="0"/>
    <x v="0"/>
    <s v="81 31 08"/>
    <s v="david.stewart@gmail.com"/>
    <x v="0"/>
    <x v="139"/>
    <x v="21"/>
    <d v="2020-03-02T00:00:00"/>
    <x v="3"/>
    <n v="66989"/>
    <x v="0"/>
  </r>
  <r>
    <n v="16722"/>
    <s v="Faith"/>
    <s v="Arnold"/>
    <s v="India "/>
    <x v="1"/>
    <x v="1"/>
    <s v="60 50 01"/>
    <s v="faith.arnold@gmail.com"/>
    <x v="2"/>
    <x v="140"/>
    <x v="22"/>
    <d v="2020-01-09T00:00:00"/>
    <x v="0"/>
    <n v="57999"/>
    <x v="0"/>
  </r>
  <r>
    <n v="19054"/>
    <s v="Penelope"/>
    <s v="Lee"/>
    <s v="India "/>
    <x v="0"/>
    <x v="0"/>
    <s v="81 31 08"/>
    <s v="penelope.lee@gmail.com"/>
    <x v="4"/>
    <x v="141"/>
    <x v="22"/>
    <d v="2020-01-02T00:00:00"/>
    <x v="3"/>
    <n v="38980"/>
    <x v="0"/>
  </r>
  <r>
    <n v="14795"/>
    <s v="Austin"/>
    <s v="Cameron"/>
    <s v="India "/>
    <x v="2"/>
    <x v="2"/>
    <s v="38 84 21"/>
    <s v="austin.cameron@gmail.com"/>
    <x v="0"/>
    <x v="142"/>
    <x v="22"/>
    <d v="2020-01-04T00:00:00"/>
    <x v="9"/>
    <n v="66989"/>
    <x v="0"/>
  </r>
  <r>
    <n v="25005"/>
    <s v="Virginia"/>
    <s v="Vance"/>
    <s v="India "/>
    <x v="2"/>
    <x v="2"/>
    <s v="38 84 21"/>
    <s v="virginia.vance@gmail.com"/>
    <x v="1"/>
    <x v="143"/>
    <x v="22"/>
    <d v="2020-01-09T00:00:00"/>
    <x v="1"/>
    <n v="34690"/>
    <x v="0"/>
  </r>
  <r>
    <n v="13069"/>
    <s v="Joe"/>
    <s v="Rampling"/>
    <s v="India "/>
    <x v="2"/>
    <x v="2"/>
    <s v="38 84 21"/>
    <s v="joe.rampling@gmail.com"/>
    <x v="0"/>
    <x v="144"/>
    <x v="23"/>
    <d v="2020-02-04T00:00:00"/>
    <x v="2"/>
    <n v="66989"/>
    <x v="0"/>
  </r>
  <r>
    <n v="15238"/>
    <s v="Nathan"/>
    <s v="Grant"/>
    <s v="India "/>
    <x v="3"/>
    <x v="3"/>
    <s v="11 00 07"/>
    <s v="nathan.grant@gmail.com"/>
    <x v="1"/>
    <x v="145"/>
    <x v="23"/>
    <d v="2020-02-04T00:00:00"/>
    <x v="9"/>
    <n v="34690"/>
    <x v="0"/>
  </r>
  <r>
    <n v="19890"/>
    <s v="Julian"/>
    <s v="Campbell"/>
    <s v="India "/>
    <x v="0"/>
    <x v="0"/>
    <s v="81 31 08"/>
    <s v="julian.campbell@gmail.com"/>
    <x v="2"/>
    <x v="146"/>
    <x v="24"/>
    <d v="2020-03-15T00:00:00"/>
    <x v="1"/>
    <n v="57999"/>
    <x v="0"/>
  </r>
  <r>
    <n v="17803"/>
    <s v="Lillian"/>
    <s v="Sutherland"/>
    <s v="India "/>
    <x v="1"/>
    <x v="1"/>
    <s v="60 50 01"/>
    <s v="lillian.sutherland@gmail.com"/>
    <x v="3"/>
    <x v="147"/>
    <x v="23"/>
    <d v="2020-02-03T00:00:00"/>
    <x v="0"/>
    <n v="36990"/>
    <x v="0"/>
  </r>
  <r>
    <n v="20565"/>
    <s v="Justin"/>
    <s v="Parsons"/>
    <s v="India "/>
    <x v="0"/>
    <x v="0"/>
    <s v="81 31 08"/>
    <s v="justin.parsons@gmail.com"/>
    <x v="4"/>
    <x v="148"/>
    <x v="25"/>
    <d v="2020-04-02T00:00:00"/>
    <x v="8"/>
    <n v="38980"/>
    <x v="0"/>
  </r>
  <r>
    <n v="14224"/>
    <s v="Alan"/>
    <s v="Gibson"/>
    <s v="India "/>
    <x v="2"/>
    <x v="2"/>
    <s v="38 84 21"/>
    <s v="alan.gibson@gmail.com"/>
    <x v="0"/>
    <x v="1"/>
    <x v="26"/>
    <d v="2020-06-08T00:00:00"/>
    <x v="6"/>
    <n v="66989"/>
    <x v="0"/>
  </r>
  <r>
    <n v="14188"/>
    <s v="Jonathan"/>
    <s v="Dickens"/>
    <s v="India "/>
    <x v="2"/>
    <x v="2"/>
    <s v="38 84 21"/>
    <s v="jonathan.dickens@gmail.com"/>
    <x v="2"/>
    <x v="59"/>
    <x v="27"/>
    <d v="2020-03-23T00:00:00"/>
    <x v="0"/>
    <n v="57999"/>
    <x v="0"/>
  </r>
  <r>
    <n v="22782"/>
    <s v="Boris"/>
    <s v="Newman"/>
    <s v="India "/>
    <x v="3"/>
    <x v="3"/>
    <s v="11 00 07"/>
    <s v="boris.newman@gmail.com"/>
    <x v="4"/>
    <x v="110"/>
    <x v="27"/>
    <d v="2020-03-25T00:00:00"/>
    <x v="5"/>
    <n v="38980"/>
    <x v="0"/>
  </r>
  <r>
    <n v="25583"/>
    <s v="Kevin"/>
    <s v="North"/>
    <s v="India "/>
    <x v="3"/>
    <x v="3"/>
    <s v="11 00 07"/>
    <s v="kevin.north@gmail.com"/>
    <x v="0"/>
    <x v="149"/>
    <x v="28"/>
    <d v="2020-05-18T00:00:00"/>
    <x v="1"/>
    <n v="66989"/>
    <x v="0"/>
  </r>
  <r>
    <n v="22830"/>
    <s v="Dylan"/>
    <s v="Graham"/>
    <s v="India "/>
    <x v="0"/>
    <x v="0"/>
    <s v="81 31 08"/>
    <s v="dylan.graham@gmail.com"/>
    <x v="1"/>
    <x v="150"/>
    <x v="29"/>
    <d v="2020-02-20T00:00:00"/>
    <x v="1"/>
    <n v="34690"/>
    <x v="0"/>
  </r>
  <r>
    <n v="17890"/>
    <s v="Peter"/>
    <s v="Hughes"/>
    <s v="India "/>
    <x v="1"/>
    <x v="1"/>
    <s v="60 50 01"/>
    <s v="peter.hughes@gmail.com"/>
    <x v="3"/>
    <x v="151"/>
    <x v="30"/>
    <d v="2020-03-06T00:00:00"/>
    <x v="9"/>
    <n v="36990"/>
    <x v="0"/>
  </r>
  <r>
    <n v="17229"/>
    <s v="Emily"/>
    <s v="Manning"/>
    <s v="India "/>
    <x v="0"/>
    <x v="0"/>
    <s v="81 31 08"/>
    <s v="emily.manning@gmail.com"/>
    <x v="0"/>
    <x v="152"/>
    <x v="28"/>
    <d v="2020-05-19T00:00:00"/>
    <x v="7"/>
    <n v="66989"/>
    <x v="0"/>
  </r>
  <r>
    <n v="13710"/>
    <s v="Lauren"/>
    <s v="Ross"/>
    <s v="India "/>
    <x v="2"/>
    <x v="2"/>
    <s v="38 84 21"/>
    <s v="lauren.ross@gmail.com"/>
    <x v="4"/>
    <x v="117"/>
    <x v="28"/>
    <d v="2020-05-18T00:00:00"/>
    <x v="2"/>
    <n v="38980"/>
    <x v="0"/>
  </r>
  <r>
    <n v="17186"/>
    <s v="Zoe"/>
    <s v="McGrath"/>
    <s v="India "/>
    <x v="2"/>
    <x v="2"/>
    <s v="38 84 21"/>
    <s v="zoe.mcgrath@gmail.com"/>
    <x v="2"/>
    <x v="153"/>
    <x v="31"/>
    <d v="2020-06-09T00:00:00"/>
    <x v="1"/>
    <n v="57999"/>
    <x v="0"/>
  </r>
  <r>
    <n v="19451"/>
    <s v="Jonathan"/>
    <s v="Vance"/>
    <s v="India "/>
    <x v="3"/>
    <x v="3"/>
    <s v="11 00 07"/>
    <s v="jonathan.vance@gmail.com"/>
    <x v="3"/>
    <x v="123"/>
    <x v="32"/>
    <d v="2020-05-05T00:00:00"/>
    <x v="4"/>
    <n v="36990"/>
    <x v="0"/>
  </r>
  <r>
    <n v="12912"/>
    <s v="Nathan"/>
    <s v="Underwood"/>
    <s v="India "/>
    <x v="0"/>
    <x v="0"/>
    <s v="81 31 08"/>
    <s v="nathan.underwood@gmail.com"/>
    <x v="4"/>
    <x v="154"/>
    <x v="32"/>
    <d v="2020-05-05T00:00:00"/>
    <x v="7"/>
    <n v="38980"/>
    <x v="0"/>
  </r>
  <r>
    <n v="13907"/>
    <s v="Alison"/>
    <s v="Ince"/>
    <s v="India "/>
    <x v="1"/>
    <x v="1"/>
    <s v="60 50 01"/>
    <s v="alison.ince@gmail.com"/>
    <x v="0"/>
    <x v="155"/>
    <x v="32"/>
    <d v="2020-05-05T00:00:00"/>
    <x v="9"/>
    <n v="66989"/>
    <x v="0"/>
  </r>
  <r>
    <n v="14805"/>
    <s v="Evan"/>
    <s v="Knox"/>
    <s v="India "/>
    <x v="0"/>
    <x v="0"/>
    <s v="81 31 08"/>
    <s v="evan.knox@gmail.com"/>
    <x v="2"/>
    <x v="156"/>
    <x v="32"/>
    <d v="2020-05-04T00:00:00"/>
    <x v="2"/>
    <n v="57999"/>
    <x v="0"/>
  </r>
  <r>
    <n v="19945"/>
    <s v="Rose"/>
    <s v="Robertson"/>
    <s v="India "/>
    <x v="2"/>
    <x v="2"/>
    <s v="38 84 21"/>
    <s v="rose.robertson@gmail.com"/>
    <x v="4"/>
    <x v="157"/>
    <x v="33"/>
    <d v="2020-06-24T00:00:00"/>
    <x v="1"/>
    <n v="38980"/>
    <x v="0"/>
  </r>
  <r>
    <n v="18538"/>
    <s v="Sam"/>
    <s v="Cornish"/>
    <s v="India "/>
    <x v="2"/>
    <x v="2"/>
    <s v="38 84 21"/>
    <s v="sam.cornish@gmail.com"/>
    <x v="0"/>
    <x v="158"/>
    <x v="34"/>
    <d v="2020-04-07T00:00:00"/>
    <x v="6"/>
    <n v="66989"/>
    <x v="0"/>
  </r>
  <r>
    <n v="17349"/>
    <s v="Keith"/>
    <s v="Brown"/>
    <s v="India "/>
    <x v="3"/>
    <x v="3"/>
    <s v="11 00 07"/>
    <s v="keith.brown@gmail.com"/>
    <x v="1"/>
    <x v="159"/>
    <x v="33"/>
    <d v="2020-06-24T00:00:00"/>
    <x v="0"/>
    <n v="34690"/>
    <x v="0"/>
  </r>
  <r>
    <n v="21072"/>
    <s v="Victor"/>
    <s v="Kerr"/>
    <s v="India "/>
    <x v="0"/>
    <x v="0"/>
    <s v="81 31 08"/>
    <s v="victor.kerr@gmail.com"/>
    <x v="2"/>
    <x v="160"/>
    <x v="33"/>
    <d v="2020-06-23T00:00:00"/>
    <x v="4"/>
    <n v="57999"/>
    <x v="0"/>
  </r>
  <r>
    <n v="21096"/>
    <s v="Faith"/>
    <s v="Howard"/>
    <s v="India "/>
    <x v="3"/>
    <x v="3"/>
    <s v="11 00 07"/>
    <s v="faith.howard@gmail.com"/>
    <x v="3"/>
    <x v="161"/>
    <x v="34"/>
    <d v="2020-04-07T00:00:00"/>
    <x v="4"/>
    <n v="36990"/>
    <x v="0"/>
  </r>
  <r>
    <n v="13221"/>
    <s v="Stephanie"/>
    <s v="Slater"/>
    <s v="India "/>
    <x v="0"/>
    <x v="0"/>
    <s v="81 31 08"/>
    <s v="stephanie.slater@gmail.com"/>
    <x v="4"/>
    <x v="162"/>
    <x v="33"/>
    <d v="2020-06-23T00:00:00"/>
    <x v="7"/>
    <n v="38980"/>
    <x v="0"/>
  </r>
  <r>
    <n v="13024"/>
    <s v="Tracey"/>
    <s v="Carr"/>
    <s v="India "/>
    <x v="1"/>
    <x v="1"/>
    <s v="60 50 01"/>
    <s v="tracey.carr@gmail.com"/>
    <x v="0"/>
    <x v="163"/>
    <x v="35"/>
    <d v="2020-01-04T00:00:00"/>
    <x v="7"/>
    <n v="66989"/>
    <x v="0"/>
  </r>
  <r>
    <n v="18313"/>
    <s v="Carol"/>
    <s v="MacDonald"/>
    <s v="India "/>
    <x v="0"/>
    <x v="0"/>
    <s v="81 31 08"/>
    <s v="carol.macdonald@gmail.com"/>
    <x v="2"/>
    <x v="92"/>
    <x v="36"/>
    <d v="2020-04-06T00:00:00"/>
    <x v="4"/>
    <n v="57999"/>
    <x v="0"/>
  </r>
  <r>
    <n v="18155"/>
    <s v="Madeleine"/>
    <s v="MacDonald"/>
    <s v="India "/>
    <x v="2"/>
    <x v="2"/>
    <s v="38 84 21"/>
    <s v="madeleine.macdonald@gmail.com"/>
    <x v="3"/>
    <x v="164"/>
    <x v="36"/>
    <d v="2020-04-06T00:00:00"/>
    <x v="6"/>
    <n v="36990"/>
    <x v="0"/>
  </r>
  <r>
    <n v="15218"/>
    <s v="Audrey"/>
    <s v="Arnold"/>
    <s v="India "/>
    <x v="0"/>
    <x v="0"/>
    <s v="81 31 08"/>
    <s v="audrey.arnold@gmail.com"/>
    <x v="4"/>
    <x v="165"/>
    <x v="37"/>
    <d v="2020-04-11T00:00:00"/>
    <x v="5"/>
    <n v="38980"/>
    <x v="0"/>
  </r>
  <r>
    <n v="25643"/>
    <s v="Stephen"/>
    <s v="Arnold"/>
    <s v="India "/>
    <x v="1"/>
    <x v="1"/>
    <s v="60 50 01"/>
    <s v="stephen.arnold@gmail.com"/>
    <x v="0"/>
    <x v="166"/>
    <x v="35"/>
    <d v="2020-01-04T00:00:00"/>
    <x v="2"/>
    <n v="66989"/>
    <x v="0"/>
  </r>
  <r>
    <n v="19349"/>
    <s v="Carl"/>
    <s v="Nash"/>
    <s v="India "/>
    <x v="0"/>
    <x v="0"/>
    <s v="81 31 08"/>
    <s v="carl.nash@gmail.com"/>
    <x v="2"/>
    <x v="167"/>
    <x v="36"/>
    <d v="2020-04-06T00:00:00"/>
    <x v="8"/>
    <n v="57999"/>
    <x v="0"/>
  </r>
  <r>
    <n v="22349"/>
    <s v="Bernadette"/>
    <s v="Ogden"/>
    <s v="India "/>
    <x v="2"/>
    <x v="2"/>
    <s v="38 84 21"/>
    <s v="bernadette.ogden@gmail.com"/>
    <x v="4"/>
    <x v="168"/>
    <x v="3"/>
    <d v="2020-05-14T00:00:00"/>
    <x v="9"/>
    <n v="38980"/>
    <x v="0"/>
  </r>
  <r>
    <n v="21071"/>
    <s v="Carol"/>
    <s v="Bower"/>
    <s v="India "/>
    <x v="2"/>
    <x v="2"/>
    <s v="38 84 21"/>
    <s v="carol.bower@gmail.com"/>
    <x v="0"/>
    <x v="169"/>
    <x v="3"/>
    <d v="2020-05-13T00:00:00"/>
    <x v="4"/>
    <n v="66989"/>
    <x v="0"/>
  </r>
  <r>
    <n v="17532"/>
    <s v="Blake"/>
    <s v="Ince"/>
    <s v="India "/>
    <x v="3"/>
    <x v="3"/>
    <s v="11 00 07"/>
    <s v="blake.ince@gmail.com"/>
    <x v="1"/>
    <x v="170"/>
    <x v="3"/>
    <d v="2020-05-13T00:00:00"/>
    <x v="0"/>
    <n v="34690"/>
    <x v="0"/>
  </r>
  <r>
    <n v="21370"/>
    <s v="Ruth"/>
    <s v="Mitchell"/>
    <s v="India "/>
    <x v="0"/>
    <x v="0"/>
    <s v="81 31 08"/>
    <s v="ruth.mitchell@gmail.com"/>
    <x v="3"/>
    <x v="171"/>
    <x v="3"/>
    <d v="2020-05-13T00:00:00"/>
    <x v="0"/>
    <n v="36990"/>
    <x v="0"/>
  </r>
  <r>
    <n v="21008"/>
    <s v="Alexandra"/>
    <s v="Knox"/>
    <s v="India "/>
    <x v="3"/>
    <x v="3"/>
    <s v="11 00 07"/>
    <s v="alexandra.knox@gmail.com"/>
    <x v="0"/>
    <x v="172"/>
    <x v="4"/>
    <d v="2020-04-09T00:00:00"/>
    <x v="6"/>
    <n v="66989"/>
    <x v="0"/>
  </r>
  <r>
    <n v="14256"/>
    <s v="Austin"/>
    <s v="Mills"/>
    <s v="India "/>
    <x v="0"/>
    <x v="0"/>
    <s v="81 31 08"/>
    <s v="austin.mills@gmail.com"/>
    <x v="4"/>
    <x v="173"/>
    <x v="5"/>
    <d v="2020-05-28T00:00:00"/>
    <x v="5"/>
    <n v="38980"/>
    <x v="0"/>
  </r>
  <r>
    <n v="23656"/>
    <s v="Irene"/>
    <s v="Brown"/>
    <s v="India "/>
    <x v="1"/>
    <x v="1"/>
    <s v="60 50 01"/>
    <s v="irene.brown@gmail.com"/>
    <x v="2"/>
    <x v="9"/>
    <x v="6"/>
    <d v="2020-02-15T00:00:00"/>
    <x v="6"/>
    <n v="57999"/>
    <x v="0"/>
  </r>
  <r>
    <n v="18928"/>
    <s v="Dan"/>
    <s v="Bond"/>
    <s v="India "/>
    <x v="0"/>
    <x v="0"/>
    <s v="81 31 08"/>
    <s v="dan.bond@gmail.com"/>
    <x v="3"/>
    <x v="174"/>
    <x v="6"/>
    <d v="2020-02-14T00:00:00"/>
    <x v="2"/>
    <n v="36990"/>
    <x v="0"/>
  </r>
  <r>
    <n v="13425"/>
    <s v="Luke"/>
    <s v="Ince"/>
    <s v="India "/>
    <x v="2"/>
    <x v="2"/>
    <s v="38 84 21"/>
    <s v="luke.ince@gmail.com"/>
    <x v="4"/>
    <x v="175"/>
    <x v="7"/>
    <d v="2020-05-16T00:00:00"/>
    <x v="7"/>
    <n v="38980"/>
    <x v="0"/>
  </r>
  <r>
    <n v="22281"/>
    <s v="Stephanie"/>
    <s v="James"/>
    <s v="India "/>
    <x v="2"/>
    <x v="2"/>
    <s v="38 84 21"/>
    <s v="stephanie.james@gmail.com"/>
    <x v="0"/>
    <x v="176"/>
    <x v="8"/>
    <d v="2020-05-23T00:00:00"/>
    <x v="3"/>
    <n v="66989"/>
    <x v="0"/>
  </r>
  <r>
    <n v="16988"/>
    <s v="Theresa"/>
    <s v="Mitchell"/>
    <s v="India "/>
    <x v="3"/>
    <x v="3"/>
    <s v="11 00 07"/>
    <s v="theresa.mitchell@gmail.com"/>
    <x v="2"/>
    <x v="177"/>
    <x v="7"/>
    <d v="2020-05-16T00:00:00"/>
    <x v="0"/>
    <n v="57999"/>
    <x v="0"/>
  </r>
  <r>
    <n v="14613"/>
    <s v="Faith"/>
    <s v="Taylor"/>
    <s v="India "/>
    <x v="0"/>
    <x v="0"/>
    <s v="81 31 08"/>
    <s v="faith.taylor@gmail.com"/>
    <x v="4"/>
    <x v="178"/>
    <x v="8"/>
    <d v="2020-05-22T00:00:00"/>
    <x v="5"/>
    <n v="38980"/>
    <x v="0"/>
  </r>
  <r>
    <n v="13014"/>
    <s v="Simon"/>
    <s v="Skinner"/>
    <s v="India "/>
    <x v="1"/>
    <x v="1"/>
    <s v="60 50 01"/>
    <s v="simon.skinner@gmail.com"/>
    <x v="0"/>
    <x v="169"/>
    <x v="8"/>
    <d v="2020-05-23T00:00:00"/>
    <x v="7"/>
    <n v="66989"/>
    <x v="0"/>
  </r>
  <r>
    <n v="14129"/>
    <s v="Karen"/>
    <s v="Bond"/>
    <s v="India "/>
    <x v="0"/>
    <x v="0"/>
    <s v="81 31 08"/>
    <s v="karen.bond@gmail.com"/>
    <x v="1"/>
    <x v="179"/>
    <x v="9"/>
    <d v="2020-01-29T00:00:00"/>
    <x v="0"/>
    <n v="34690"/>
    <x v="0"/>
  </r>
  <r>
    <n v="15851"/>
    <s v="John"/>
    <s v="Bell"/>
    <s v="India "/>
    <x v="2"/>
    <x v="2"/>
    <s v="38 84 21"/>
    <s v="john.bell@gmail.com"/>
    <x v="2"/>
    <x v="180"/>
    <x v="9"/>
    <d v="2020-01-30T00:00:00"/>
    <x v="7"/>
    <n v="57999"/>
    <x v="0"/>
  </r>
  <r>
    <n v="21747"/>
    <s v="Diana"/>
    <s v="Knox"/>
    <s v="India "/>
    <x v="2"/>
    <x v="2"/>
    <s v="38 84 21"/>
    <s v="diana.knox@gmail.com"/>
    <x v="3"/>
    <x v="181"/>
    <x v="10"/>
    <d v="2020-05-04T00:00:00"/>
    <x v="0"/>
    <n v="36990"/>
    <x v="0"/>
  </r>
  <r>
    <n v="19117"/>
    <s v="Blake"/>
    <s v="Hughes"/>
    <s v="India "/>
    <x v="3"/>
    <x v="3"/>
    <s v="11 00 07"/>
    <s v="blake.hughes@gmail.com"/>
    <x v="4"/>
    <x v="182"/>
    <x v="11"/>
    <d v="2020-02-23T00:00:00"/>
    <x v="9"/>
    <n v="38980"/>
    <x v="0"/>
  </r>
  <r>
    <n v="18462"/>
    <s v="Julian"/>
    <s v="Butler"/>
    <s v="India "/>
    <x v="0"/>
    <x v="0"/>
    <s v="81 31 08"/>
    <s v="julian.butler@gmail.com"/>
    <x v="0"/>
    <x v="183"/>
    <x v="12"/>
    <d v="2020-03-28T00:00:00"/>
    <x v="3"/>
    <n v="66989"/>
    <x v="0"/>
  </r>
  <r>
    <n v="22275"/>
    <s v="Stewart"/>
    <s v="Brown"/>
    <s v="India "/>
    <x v="1"/>
    <x v="1"/>
    <s v="60 50 01"/>
    <s v="stewart.brown@gmail.com"/>
    <x v="2"/>
    <x v="184"/>
    <x v="13"/>
    <d v="2020-01-22T00:00:00"/>
    <x v="5"/>
    <n v="57999"/>
    <x v="0"/>
  </r>
  <r>
    <n v="19077"/>
    <s v="Lisa"/>
    <s v="Dyer"/>
    <s v="India "/>
    <x v="0"/>
    <x v="0"/>
    <s v="81 31 08"/>
    <s v="lisa.dyer@gmail.com"/>
    <x v="4"/>
    <x v="185"/>
    <x v="14"/>
    <d v="2020-03-19T00:00:00"/>
    <x v="0"/>
    <n v="38980"/>
    <x v="0"/>
  </r>
  <r>
    <n v="21580"/>
    <s v="Lauren"/>
    <s v="Paige"/>
    <s v="India "/>
    <x v="2"/>
    <x v="2"/>
    <s v="38 84 21"/>
    <s v="lauren.paige@gmail.com"/>
    <x v="0"/>
    <x v="186"/>
    <x v="15"/>
    <d v="2020-06-17T00:00:00"/>
    <x v="7"/>
    <n v="66989"/>
    <x v="0"/>
  </r>
  <r>
    <n v="25037"/>
    <s v="Lauren"/>
    <s v="Slater"/>
    <s v="India "/>
    <x v="2"/>
    <x v="2"/>
    <s v="38 84 21"/>
    <s v="lauren.slater@gmail.com"/>
    <x v="1"/>
    <x v="66"/>
    <x v="15"/>
    <d v="2020-06-16T00:00:00"/>
    <x v="8"/>
    <n v="34690"/>
    <x v="0"/>
  </r>
  <r>
    <n v="20857"/>
    <s v="Nicholas"/>
    <s v="Thomson"/>
    <s v="India "/>
    <x v="2"/>
    <x v="2"/>
    <s v="38 84 21"/>
    <s v="nicholas.thomson@gmail.com"/>
    <x v="3"/>
    <x v="95"/>
    <x v="16"/>
    <d v="2020-05-11T00:00:00"/>
    <x v="0"/>
    <n v="36990"/>
    <x v="0"/>
  </r>
  <r>
    <n v="16923"/>
    <s v="Eric"/>
    <s v="McLean"/>
    <s v="India "/>
    <x v="3"/>
    <x v="3"/>
    <s v="11 00 07"/>
    <s v="eric.mclean@gmail.com"/>
    <x v="0"/>
    <x v="187"/>
    <x v="17"/>
    <d v="2020-03-10T00:00:00"/>
    <x v="5"/>
    <n v="66989"/>
    <x v="0"/>
  </r>
  <r>
    <n v="21714"/>
    <s v="Kevin"/>
    <s v="Fisher"/>
    <s v="India "/>
    <x v="2"/>
    <x v="2"/>
    <s v="38 84 21"/>
    <s v="kevin.fisher@gmail.com"/>
    <x v="4"/>
    <x v="188"/>
    <x v="9"/>
    <d v="2020-01-30T00:00:00"/>
    <x v="2"/>
    <n v="38980"/>
    <x v="0"/>
  </r>
  <r>
    <n v="15744"/>
    <s v="Trevor"/>
    <s v="Davidson"/>
    <s v="India "/>
    <x v="2"/>
    <x v="2"/>
    <s v="38 84 21"/>
    <s v="trevor.davidson@gmail.com"/>
    <x v="2"/>
    <x v="189"/>
    <x v="17"/>
    <d v="2020-03-11T00:00:00"/>
    <x v="6"/>
    <n v="57999"/>
    <x v="0"/>
  </r>
  <r>
    <n v="15737"/>
    <s v="Diana"/>
    <s v="Grant"/>
    <s v="India "/>
    <x v="3"/>
    <x v="3"/>
    <s v="11 00 07"/>
    <s v="diana.grant@gmail.com"/>
    <x v="3"/>
    <x v="147"/>
    <x v="18"/>
    <d v="2020-04-21T00:00:00"/>
    <x v="4"/>
    <n v="36990"/>
    <x v="0"/>
  </r>
  <r>
    <n v="21203"/>
    <s v="William"/>
    <s v="Scott"/>
    <s v="India "/>
    <x v="3"/>
    <x v="3"/>
    <s v="11 00 07"/>
    <s v="william.scott@gmail.com"/>
    <x v="4"/>
    <x v="190"/>
    <x v="18"/>
    <d v="2020-04-21T00:00:00"/>
    <x v="3"/>
    <n v="38980"/>
    <x v="0"/>
  </r>
  <r>
    <n v="23278"/>
    <s v="Bella"/>
    <s v="Graham"/>
    <s v="India "/>
    <x v="0"/>
    <x v="0"/>
    <s v="81 31 08"/>
    <s v="bella.graham@gmail.com"/>
    <x v="0"/>
    <x v="134"/>
    <x v="19"/>
    <d v="2020-05-11T00:00:00"/>
    <x v="8"/>
    <n v="66989"/>
    <x v="0"/>
  </r>
  <r>
    <n v="25473"/>
    <s v="Colin"/>
    <s v="Poole"/>
    <s v="India "/>
    <x v="1"/>
    <x v="1"/>
    <s v="60 50 01"/>
    <s v="colin.poole@gmail.com"/>
    <x v="2"/>
    <x v="191"/>
    <x v="20"/>
    <d v="2020-06-14T00:00:00"/>
    <x v="5"/>
    <n v="57999"/>
    <x v="0"/>
  </r>
  <r>
    <n v="18326"/>
    <s v="Dylan"/>
    <s v="Hill"/>
    <s v="India "/>
    <x v="0"/>
    <x v="0"/>
    <s v="81 31 08"/>
    <s v="dylan.hill@gmail.com"/>
    <x v="4"/>
    <x v="192"/>
    <x v="21"/>
    <d v="2020-03-04T00:00:00"/>
    <x v="4"/>
    <n v="38980"/>
    <x v="0"/>
  </r>
  <r>
    <n v="12772"/>
    <s v="Robert"/>
    <s v="Scott"/>
    <s v="India "/>
    <x v="2"/>
    <x v="2"/>
    <s v="38 84 21"/>
    <s v="robert.scott@gmail.com"/>
    <x v="0"/>
    <x v="128"/>
    <x v="21"/>
    <d v="2020-03-02T00:00:00"/>
    <x v="2"/>
    <n v="66989"/>
    <x v="0"/>
  </r>
  <r>
    <n v="15836"/>
    <s v="Sarah"/>
    <s v="Quinn"/>
    <s v="India "/>
    <x v="2"/>
    <x v="2"/>
    <s v="38 84 21"/>
    <s v="sarah.quinn@gmail.com"/>
    <x v="1"/>
    <x v="193"/>
    <x v="22"/>
    <d v="2020-01-09T00:00:00"/>
    <x v="0"/>
    <n v="34690"/>
    <x v="0"/>
  </r>
  <r>
    <n v="22922"/>
    <s v="Tracey"/>
    <s v="North"/>
    <s v="India "/>
    <x v="3"/>
    <x v="3"/>
    <s v="11 00 07"/>
    <s v="tracey.north@gmail.com"/>
    <x v="0"/>
    <x v="194"/>
    <x v="22"/>
    <d v="2020-01-02T00:00:00"/>
    <x v="2"/>
    <n v="66989"/>
    <x v="0"/>
  </r>
  <r>
    <n v="18690"/>
    <s v="Robert"/>
    <s v="Black"/>
    <s v="India "/>
    <x v="0"/>
    <x v="0"/>
    <s v="81 31 08"/>
    <s v="robert.black@gmail.com"/>
    <x v="1"/>
    <x v="195"/>
    <x v="22"/>
    <d v="2020-01-04T00:00:00"/>
    <x v="9"/>
    <n v="34690"/>
    <x v="0"/>
  </r>
  <r>
    <n v="14352"/>
    <s v="Victor"/>
    <s v="Berry"/>
    <s v="India "/>
    <x v="1"/>
    <x v="1"/>
    <s v="60 50 01"/>
    <s v="victor.berry@gmail.com"/>
    <x v="2"/>
    <x v="153"/>
    <x v="22"/>
    <d v="2020-01-09T00:00:00"/>
    <x v="1"/>
    <n v="57999"/>
    <x v="0"/>
  </r>
  <r>
    <n v="20984"/>
    <s v="Piers"/>
    <s v="Payne"/>
    <s v="India "/>
    <x v="0"/>
    <x v="0"/>
    <s v="81 31 08"/>
    <s v="piers.payne@gmail.com"/>
    <x v="3"/>
    <x v="196"/>
    <x v="23"/>
    <d v="2020-02-04T00:00:00"/>
    <x v="6"/>
    <n v="36990"/>
    <x v="0"/>
  </r>
  <r>
    <n v="12617"/>
    <s v="Leonard"/>
    <s v="Clarkson"/>
    <s v="India "/>
    <x v="2"/>
    <x v="2"/>
    <s v="38 84 21"/>
    <s v="leonard.clarkson@gmail.com"/>
    <x v="4"/>
    <x v="197"/>
    <x v="23"/>
    <d v="2020-02-04T00:00:00"/>
    <x v="7"/>
    <n v="38980"/>
    <x v="0"/>
  </r>
  <r>
    <n v="19301"/>
    <s v="Adrian"/>
    <s v="Hill"/>
    <s v="India "/>
    <x v="2"/>
    <x v="2"/>
    <s v="38 84 21"/>
    <s v="adrian.hill@gmail.com"/>
    <x v="0"/>
    <x v="198"/>
    <x v="24"/>
    <d v="2020-03-15T00:00:00"/>
    <x v="2"/>
    <n v="66989"/>
    <x v="0"/>
  </r>
  <r>
    <n v="20845"/>
    <s v="Isaac"/>
    <s v="Carr"/>
    <s v="India "/>
    <x v="3"/>
    <x v="3"/>
    <s v="11 00 07"/>
    <s v="isaac.carr@gmail.com"/>
    <x v="2"/>
    <x v="45"/>
    <x v="23"/>
    <d v="2020-02-03T00:00:00"/>
    <x v="5"/>
    <n v="57999"/>
    <x v="0"/>
  </r>
  <r>
    <n v="13529"/>
    <s v="Theresa"/>
    <s v="Abraham"/>
    <s v="India "/>
    <x v="0"/>
    <x v="0"/>
    <s v="81 31 08"/>
    <s v="theresa.abraham@gmail.com"/>
    <x v="4"/>
    <x v="199"/>
    <x v="25"/>
    <d v="2020-04-02T00:00:00"/>
    <x v="5"/>
    <n v="38980"/>
    <x v="0"/>
  </r>
  <r>
    <n v="19388"/>
    <s v="Grace"/>
    <s v="Young"/>
    <s v="India "/>
    <x v="3"/>
    <x v="3"/>
    <s v="11 00 07"/>
    <s v="grace.young@gmail.com"/>
    <x v="0"/>
    <x v="200"/>
    <x v="26"/>
    <d v="2020-06-08T00:00:00"/>
    <x v="6"/>
    <n v="66989"/>
    <x v="0"/>
  </r>
  <r>
    <n v="18808"/>
    <s v="Lily"/>
    <s v="Graham"/>
    <s v="India "/>
    <x v="0"/>
    <x v="0"/>
    <s v="81 31 08"/>
    <s v="lily.graham@gmail.com"/>
    <x v="1"/>
    <x v="201"/>
    <x v="27"/>
    <d v="2020-03-23T00:00:00"/>
    <x v="7"/>
    <n v="34690"/>
    <x v="0"/>
  </r>
  <r>
    <n v="25278"/>
    <s v="Richard"/>
    <s v="Hunter"/>
    <s v="India "/>
    <x v="1"/>
    <x v="1"/>
    <s v="60 50 01"/>
    <s v="richard.hunter@gmail.com"/>
    <x v="3"/>
    <x v="202"/>
    <x v="27"/>
    <d v="2020-03-25T00:00:00"/>
    <x v="1"/>
    <n v="36990"/>
    <x v="0"/>
  </r>
  <r>
    <n v="19105"/>
    <s v="Bella"/>
    <s v="Chapman"/>
    <s v="India "/>
    <x v="0"/>
    <x v="0"/>
    <s v="81 31 08"/>
    <s v="bella.chapman@gmail.com"/>
    <x v="0"/>
    <x v="203"/>
    <x v="28"/>
    <d v="2020-05-18T00:00:00"/>
    <x v="0"/>
    <n v="66989"/>
    <x v="0"/>
  </r>
  <r>
    <n v="18503"/>
    <s v="Irene"/>
    <s v="Cameron"/>
    <s v="India "/>
    <x v="2"/>
    <x v="2"/>
    <s v="38 84 21"/>
    <s v="irene.cameron@gmail.com"/>
    <x v="4"/>
    <x v="61"/>
    <x v="29"/>
    <d v="2020-02-20T00:00:00"/>
    <x v="1"/>
    <n v="38980"/>
    <x v="0"/>
  </r>
  <r>
    <n v="14291"/>
    <s v="Gordon"/>
    <s v="Metcalfe"/>
    <s v="India "/>
    <x v="0"/>
    <x v="0"/>
    <s v="81 31 08"/>
    <s v="gordon.metcalfe@gmail.com"/>
    <x v="2"/>
    <x v="204"/>
    <x v="30"/>
    <d v="2020-03-06T00:00:00"/>
    <x v="3"/>
    <n v="57999"/>
    <x v="0"/>
  </r>
  <r>
    <n v="14310"/>
    <s v="Ruth"/>
    <s v="Sharp"/>
    <s v="India "/>
    <x v="1"/>
    <x v="1"/>
    <s v="60 50 01"/>
    <s v="ruth.sharp@gmail.com"/>
    <x v="3"/>
    <x v="205"/>
    <x v="28"/>
    <d v="2020-05-19T00:00:00"/>
    <x v="4"/>
    <n v="36990"/>
    <x v="0"/>
  </r>
  <r>
    <n v="15266"/>
    <s v="Heather"/>
    <s v="Harris"/>
    <s v="India "/>
    <x v="0"/>
    <x v="0"/>
    <s v="81 31 08"/>
    <s v="heather.harris@gmail.com"/>
    <x v="4"/>
    <x v="206"/>
    <x v="28"/>
    <d v="2020-05-18T00:00:00"/>
    <x v="2"/>
    <n v="38980"/>
    <x v="0"/>
  </r>
  <r>
    <n v="18743"/>
    <s v="Phil"/>
    <s v="Wallace"/>
    <s v="India "/>
    <x v="2"/>
    <x v="2"/>
    <s v="38 84 21"/>
    <s v="phil.wallace@gmail.com"/>
    <x v="0"/>
    <x v="207"/>
    <x v="31"/>
    <d v="2020-06-09T00:00:00"/>
    <x v="4"/>
    <n v="66989"/>
    <x v="0"/>
  </r>
  <r>
    <n v="13558"/>
    <s v="Wendy"/>
    <s v="Hamilton"/>
    <s v="India "/>
    <x v="2"/>
    <x v="2"/>
    <s v="38 84 21"/>
    <s v="wendy.hamilton@gmail.com"/>
    <x v="2"/>
    <x v="176"/>
    <x v="32"/>
    <d v="2020-05-05T00:00:00"/>
    <x v="0"/>
    <n v="57999"/>
    <x v="0"/>
  </r>
  <r>
    <n v="17384"/>
    <s v="John"/>
    <s v="Graham"/>
    <s v="India "/>
    <x v="2"/>
    <x v="2"/>
    <s v="38 84 21"/>
    <s v="john.graham@gmail.com"/>
    <x v="4"/>
    <x v="208"/>
    <x v="32"/>
    <d v="2020-05-05T00:00:00"/>
    <x v="6"/>
    <n v="38980"/>
    <x v="0"/>
  </r>
  <r>
    <n v="17157"/>
    <s v="Claire"/>
    <s v="Simpson"/>
    <s v="India "/>
    <x v="2"/>
    <x v="2"/>
    <s v="38 84 21"/>
    <s v="claire.simpson@gmail.com"/>
    <x v="0"/>
    <x v="209"/>
    <x v="32"/>
    <d v="2020-05-05T00:00:00"/>
    <x v="3"/>
    <n v="66989"/>
    <x v="0"/>
  </r>
  <r>
    <n v="24122"/>
    <s v="Lauren"/>
    <s v="Knox"/>
    <s v="India "/>
    <x v="3"/>
    <x v="3"/>
    <s v="11 00 07"/>
    <s v="lauren.knox@gmail.com"/>
    <x v="1"/>
    <x v="210"/>
    <x v="32"/>
    <d v="2020-05-04T00:00:00"/>
    <x v="3"/>
    <n v="34690"/>
    <x v="0"/>
  </r>
  <r>
    <n v="15921"/>
    <s v="Abigail"/>
    <s v="Watson"/>
    <s v="India "/>
    <x v="0"/>
    <x v="0"/>
    <s v="81 31 08"/>
    <s v="abigail.watson@gmail.com"/>
    <x v="0"/>
    <x v="211"/>
    <x v="33"/>
    <d v="2020-06-24T00:00:00"/>
    <x v="7"/>
    <n v="66989"/>
    <x v="0"/>
  </r>
  <r>
    <n v="20003"/>
    <s v="Charles"/>
    <s v="Walker"/>
    <s v="India "/>
    <x v="1"/>
    <x v="1"/>
    <s v="60 50 01"/>
    <s v="charles.walker@gmail.com"/>
    <x v="1"/>
    <x v="212"/>
    <x v="34"/>
    <d v="2020-04-07T00:00:00"/>
    <x v="8"/>
    <n v="34690"/>
    <x v="0"/>
  </r>
  <r>
    <n v="12568"/>
    <s v="Andrea"/>
    <s v="Ogden"/>
    <s v="India "/>
    <x v="0"/>
    <x v="0"/>
    <n v="123456"/>
    <s v="andrea.ogden@gmail.com"/>
    <x v="2"/>
    <x v="213"/>
    <x v="33"/>
    <d v="2020-06-24T00:00:00"/>
    <x v="3"/>
    <n v="57999"/>
    <x v="0"/>
  </r>
  <r>
    <n v="23389"/>
    <s v="Faith"/>
    <s v="Thomson"/>
    <s v="India "/>
    <x v="2"/>
    <x v="2"/>
    <s v="38 84 21"/>
    <s v="faith.thomson@gmail.com"/>
    <x v="3"/>
    <x v="214"/>
    <x v="33"/>
    <d v="2020-06-23T00:00:00"/>
    <x v="3"/>
    <n v="36990"/>
    <x v="0"/>
  </r>
  <r>
    <n v="16937"/>
    <s v="David"/>
    <s v="Martin"/>
    <s v="India "/>
    <x v="2"/>
    <x v="2"/>
    <s v="38 84 21"/>
    <s v="david.martin@gmail.com"/>
    <x v="4"/>
    <x v="215"/>
    <x v="34"/>
    <d v="2020-04-07T00:00:00"/>
    <x v="5"/>
    <n v="38980"/>
    <x v="0"/>
  </r>
  <r>
    <n v="23302"/>
    <s v="Frank"/>
    <s v="Short"/>
    <s v="India "/>
    <x v="3"/>
    <x v="3"/>
    <s v="11 00 07"/>
    <s v="frank.short@gmail.com"/>
    <x v="0"/>
    <x v="216"/>
    <x v="33"/>
    <d v="2020-06-23T00:00:00"/>
    <x v="8"/>
    <n v="66989"/>
    <x v="0"/>
  </r>
  <r>
    <n v="23310"/>
    <s v="Ruth"/>
    <s v="Greene"/>
    <s v="India "/>
    <x v="0"/>
    <x v="0"/>
    <s v="81 31 08"/>
    <s v="ruth.greene@gmail.com"/>
    <x v="2"/>
    <x v="217"/>
    <x v="35"/>
    <d v="2020-01-04T00:00:00"/>
    <x v="0"/>
    <n v="57999"/>
    <x v="0"/>
  </r>
  <r>
    <n v="25467"/>
    <s v="Kevin"/>
    <s v="Lee"/>
    <s v="India "/>
    <x v="1"/>
    <x v="1"/>
    <s v="60 50 01"/>
    <s v="kevin.lee@gmail.com"/>
    <x v="4"/>
    <x v="218"/>
    <x v="36"/>
    <d v="2020-04-06T00:00:00"/>
    <x v="8"/>
    <n v="38980"/>
    <x v="0"/>
  </r>
  <r>
    <n v="21592"/>
    <s v="Evan"/>
    <s v="Davies"/>
    <s v="India "/>
    <x v="0"/>
    <x v="0"/>
    <s v="81 31 08"/>
    <s v="evan.davies@gmail.com"/>
    <x v="0"/>
    <x v="219"/>
    <x v="36"/>
    <d v="2020-04-06T00:00:00"/>
    <x v="7"/>
    <n v="66989"/>
    <x v="0"/>
  </r>
  <r>
    <n v="19207"/>
    <s v="Sarah"/>
    <s v="Turner"/>
    <s v="India "/>
    <x v="2"/>
    <x v="2"/>
    <s v="38 84 21"/>
    <s v="sarah.turner@gmail.com"/>
    <x v="1"/>
    <x v="220"/>
    <x v="37"/>
    <d v="2020-04-11T00:00:00"/>
    <x v="8"/>
    <n v="34690"/>
    <x v="0"/>
  </r>
  <r>
    <n v="14591"/>
    <s v="Chloe"/>
    <s v="Arnold"/>
    <s v="India "/>
    <x v="2"/>
    <x v="2"/>
    <s v="38 84 21"/>
    <s v="chloe.arnold@gmail.com"/>
    <x v="3"/>
    <x v="221"/>
    <x v="35"/>
    <d v="2020-01-04T00:00:00"/>
    <x v="6"/>
    <n v="36990"/>
    <x v="0"/>
  </r>
  <r>
    <n v="24580"/>
    <s v="Nicholas"/>
    <s v="Lee"/>
    <s v="India "/>
    <x v="2"/>
    <x v="2"/>
    <s v="38 84 21"/>
    <s v="nicholas.lee@gmail.com"/>
    <x v="0"/>
    <x v="222"/>
    <x v="36"/>
    <d v="2020-04-06T00:00:00"/>
    <x v="6"/>
    <n v="66989"/>
    <x v="0"/>
  </r>
  <r>
    <n v="24473"/>
    <s v="Dylan"/>
    <s v="Springer"/>
    <s v="India "/>
    <x v="3"/>
    <x v="3"/>
    <s v="11 00 07"/>
    <s v="dylan.springer@gmail.com"/>
    <x v="4"/>
    <x v="223"/>
    <x v="36"/>
    <d v="2020-04-06T00:00:00"/>
    <x v="4"/>
    <n v="38980"/>
    <x v="0"/>
  </r>
  <r>
    <n v="25217"/>
    <s v="Heather"/>
    <s v="Churchill"/>
    <s v="India "/>
    <x v="2"/>
    <x v="2"/>
    <s v="38 84 21"/>
    <s v="heather.churchill@gmail.com"/>
    <x v="2"/>
    <x v="1"/>
    <x v="37"/>
    <d v="2020-04-11T00:00:00"/>
    <x v="7"/>
    <n v="57999"/>
    <x v="0"/>
  </r>
  <r>
    <n v="18415"/>
    <s v="Amanda"/>
    <s v="Avery"/>
    <s v="India "/>
    <x v="2"/>
    <x v="2"/>
    <s v="38 84 21"/>
    <s v="amanda.avery@gmail.com"/>
    <x v="3"/>
    <x v="224"/>
    <x v="38"/>
    <d v="2020-01-13T00:00:00"/>
    <x v="8"/>
    <n v="36990"/>
    <x v="0"/>
  </r>
  <r>
    <n v="18829"/>
    <s v="Anne"/>
    <s v="Lewis"/>
    <s v="India "/>
    <x v="3"/>
    <x v="3"/>
    <s v="11 00 07"/>
    <s v="anne.lewis@gmail.com"/>
    <x v="4"/>
    <x v="109"/>
    <x v="38"/>
    <d v="2020-01-14T00:00:00"/>
    <x v="0"/>
    <n v="38980"/>
    <x v="0"/>
  </r>
  <r>
    <n v="15311"/>
    <s v="Stephen"/>
    <s v="Gibson"/>
    <s v="India "/>
    <x v="3"/>
    <x v="3"/>
    <s v="11 00 07"/>
    <s v="stephen.gibson@gmail.com"/>
    <x v="0"/>
    <x v="182"/>
    <x v="37"/>
    <d v="2020-04-10T00:00:00"/>
    <x v="6"/>
    <n v="66989"/>
    <x v="0"/>
  </r>
  <r>
    <n v="22818"/>
    <s v="Jasmine"/>
    <s v="Young"/>
    <s v="India "/>
    <x v="0"/>
    <x v="0"/>
    <s v="81 31 08"/>
    <s v="jasmine.young@gmail.com"/>
    <x v="2"/>
    <x v="225"/>
    <x v="39"/>
    <d v="2020-01-28T00:00:00"/>
    <x v="2"/>
    <n v="57999"/>
    <x v="0"/>
  </r>
  <r>
    <n v="19406"/>
    <s v="Bernadette"/>
    <s v="Cornish"/>
    <s v="India "/>
    <x v="1"/>
    <x v="1"/>
    <s v="60 50 01"/>
    <s v="bernadette.cornish@gmail.com"/>
    <x v="4"/>
    <x v="226"/>
    <x v="40"/>
    <d v="2020-05-26T00:00:00"/>
    <x v="4"/>
    <n v="38980"/>
    <x v="0"/>
  </r>
  <r>
    <n v="15789"/>
    <s v="Jessica"/>
    <s v="Abraham"/>
    <s v="India "/>
    <x v="0"/>
    <x v="0"/>
    <s v="81 31 08"/>
    <s v="jessica.abraham@gmail.com"/>
    <x v="0"/>
    <x v="155"/>
    <x v="41"/>
    <d v="2020-05-17T00:00:00"/>
    <x v="4"/>
    <n v="66989"/>
    <x v="0"/>
  </r>
  <r>
    <n v="22207"/>
    <s v="Phil"/>
    <s v="Davies"/>
    <s v="India "/>
    <x v="2"/>
    <x v="2"/>
    <s v="38 84 21"/>
    <s v="phil.davies@gmail.com"/>
    <x v="1"/>
    <x v="227"/>
    <x v="41"/>
    <d v="2020-05-17T00:00:00"/>
    <x v="5"/>
    <n v="34690"/>
    <x v="0"/>
  </r>
  <r>
    <n v="18711"/>
    <s v="Victor"/>
    <s v="Abraham"/>
    <s v="India "/>
    <x v="2"/>
    <x v="2"/>
    <s v="38 84 21"/>
    <s v="victor.abraham@gmail.com"/>
    <x v="2"/>
    <x v="228"/>
    <x v="42"/>
    <d v="2020-06-03T00:00:00"/>
    <x v="6"/>
    <n v="57999"/>
    <x v="0"/>
  </r>
  <r>
    <n v="14465"/>
    <s v="Stewart"/>
    <s v="Skinner"/>
    <s v="India "/>
    <x v="3"/>
    <x v="3"/>
    <s v="11 00 07"/>
    <s v="stewart.skinner@gmail.com"/>
    <x v="3"/>
    <x v="229"/>
    <x v="42"/>
    <d v="2020-06-03T00:00:00"/>
    <x v="6"/>
    <n v="36990"/>
    <x v="0"/>
  </r>
  <r>
    <n v="17872"/>
    <s v="Jessica"/>
    <s v="Dickens"/>
    <s v="India "/>
    <x v="0"/>
    <x v="0"/>
    <s v="81 31 08"/>
    <s v="jessica.dickens@gmail.com"/>
    <x v="4"/>
    <x v="22"/>
    <x v="43"/>
    <d v="2020-01-17T00:00:00"/>
    <x v="4"/>
    <n v="38980"/>
    <x v="0"/>
  </r>
  <r>
    <n v="23215"/>
    <s v="Adrian"/>
    <s v="Underwood"/>
    <s v="India "/>
    <x v="2"/>
    <x v="2"/>
    <s v="38 84 21"/>
    <s v="adrian.underwood@gmail.com"/>
    <x v="0"/>
    <x v="11"/>
    <x v="44"/>
    <d v="2020-03-16T00:00:00"/>
    <x v="6"/>
    <n v="66989"/>
    <x v="0"/>
  </r>
  <r>
    <n v="13172"/>
    <s v="Samantha"/>
    <s v="Robertson"/>
    <s v="India "/>
    <x v="3"/>
    <x v="3"/>
    <s v="11 00 07"/>
    <s v="samantha.robertson@gmail.com"/>
    <x v="2"/>
    <x v="230"/>
    <x v="14"/>
    <d v="2020-03-13T00:00:00"/>
    <x v="7"/>
    <n v="57999"/>
    <x v="0"/>
  </r>
  <r>
    <n v="24542"/>
    <s v="Sue"/>
    <s v="Welch"/>
    <s v="India "/>
    <x v="0"/>
    <x v="0"/>
    <s v="81 31 08"/>
    <s v="sue.welch@gmail.com"/>
    <x v="3"/>
    <x v="231"/>
    <x v="45"/>
    <d v="2020-04-24T00:00:00"/>
    <x v="5"/>
    <n v="36990"/>
    <x v="0"/>
  </r>
  <r>
    <n v="13710"/>
    <s v="Kimberly"/>
    <s v="Wright"/>
    <s v="India "/>
    <x v="3"/>
    <x v="3"/>
    <s v="11 00 07"/>
    <s v="kimberly.wright@gmail.com"/>
    <x v="4"/>
    <x v="232"/>
    <x v="46"/>
    <d v="2020-01-23T00:00:00"/>
    <x v="0"/>
    <n v="38980"/>
    <x v="0"/>
  </r>
  <r>
    <n v="21491"/>
    <s v="Virginia"/>
    <s v="Wilkins"/>
    <s v="India "/>
    <x v="0"/>
    <x v="0"/>
    <s v="81 31 08"/>
    <s v="virginia.wilkins@gmail.com"/>
    <x v="0"/>
    <x v="233"/>
    <x v="18"/>
    <d v="2020-04-22T00:00:00"/>
    <x v="5"/>
    <n v="66989"/>
    <x v="0"/>
  </r>
  <r>
    <n v="18383"/>
    <s v="Bella"/>
    <s v="Coleman"/>
    <s v="India "/>
    <x v="1"/>
    <x v="1"/>
    <s v="60 50 01"/>
    <s v="bella.coleman@gmail.com"/>
    <x v="2"/>
    <x v="60"/>
    <x v="43"/>
    <d v="2020-01-16T00:00:00"/>
    <x v="9"/>
    <n v="57999"/>
    <x v="0"/>
  </r>
  <r>
    <n v="17098"/>
    <s v="Oliver"/>
    <s v="Langdon"/>
    <s v="India "/>
    <x v="0"/>
    <x v="0"/>
    <s v="81 31 08"/>
    <s v="oliver.langdon@gmail.com"/>
    <x v="4"/>
    <x v="234"/>
    <x v="47"/>
    <d v="2020-04-26T00:00:00"/>
    <x v="9"/>
    <n v="38980"/>
    <x v="0"/>
  </r>
  <r>
    <n v="13118"/>
    <s v="Angela"/>
    <s v="Greene"/>
    <s v="India "/>
    <x v="2"/>
    <x v="2"/>
    <s v="38 84 21"/>
    <s v="angela.greene@gmail.com"/>
    <x v="0"/>
    <x v="235"/>
    <x v="48"/>
    <d v="2020-04-01T00:00:00"/>
    <x v="3"/>
    <n v="66989"/>
    <x v="0"/>
  </r>
  <r>
    <n v="13991"/>
    <s v="Carl"/>
    <s v="Carr"/>
    <s v="India "/>
    <x v="0"/>
    <x v="0"/>
    <s v="81 31 08"/>
    <s v="carl.carr@gmail.com"/>
    <x v="1"/>
    <x v="9"/>
    <x v="49"/>
    <d v="2020-06-22T00:00:00"/>
    <x v="0"/>
    <n v="34690"/>
    <x v="0"/>
  </r>
  <r>
    <n v="22428"/>
    <s v="Christopher"/>
    <s v="Paige"/>
    <s v="India "/>
    <x v="1"/>
    <x v="1"/>
    <s v="60 50 01"/>
    <s v="christopher.paige@gmail.com"/>
    <x v="3"/>
    <x v="236"/>
    <x v="50"/>
    <d v="2020-05-15T00:00:00"/>
    <x v="8"/>
    <n v="36990"/>
    <x v="0"/>
  </r>
  <r>
    <n v="16694"/>
    <s v="Ian"/>
    <s v="Smith"/>
    <s v="India "/>
    <x v="0"/>
    <x v="0"/>
    <s v="81 31 08"/>
    <s v="ian.smith@gmail.com"/>
    <x v="0"/>
    <x v="237"/>
    <x v="51"/>
    <d v="2020-01-26T00:00:00"/>
    <x v="2"/>
    <n v="66989"/>
    <x v="0"/>
  </r>
  <r>
    <n v="14982"/>
    <s v="Paul"/>
    <s v="Paige"/>
    <s v="India "/>
    <x v="2"/>
    <x v="2"/>
    <s v="38 84 21"/>
    <s v="paul.paige@gmail.com"/>
    <x v="4"/>
    <x v="238"/>
    <x v="22"/>
    <d v="2020-01-04T00:00:00"/>
    <x v="3"/>
    <n v="38980"/>
    <x v="0"/>
  </r>
  <r>
    <n v="22495"/>
    <s v="Victoria"/>
    <s v="Ogden"/>
    <s v="India "/>
    <x v="2"/>
    <x v="2"/>
    <s v="38 84 21"/>
    <s v="victoria.ogden@gmail.com"/>
    <x v="2"/>
    <x v="239"/>
    <x v="22"/>
    <d v="2020-01-03T00:00:00"/>
    <x v="9"/>
    <n v="57999"/>
    <x v="0"/>
  </r>
  <r>
    <n v="24264"/>
    <s v="Dorothy"/>
    <s v="Bell"/>
    <s v="India "/>
    <x v="2"/>
    <x v="2"/>
    <s v="38 84 21"/>
    <s v="dorothy.bell@gmail.com"/>
    <x v="3"/>
    <x v="240"/>
    <x v="52"/>
    <d v="2020-01-18T00:00:00"/>
    <x v="4"/>
    <n v="36990"/>
    <x v="0"/>
  </r>
  <r>
    <n v="12987"/>
    <s v="Leah"/>
    <s v="Bailey"/>
    <s v="India "/>
    <x v="2"/>
    <x v="2"/>
    <s v="38 84 21"/>
    <s v="leah.bailey@gmail.com"/>
    <x v="4"/>
    <x v="241"/>
    <x v="35"/>
    <d v="2020-01-05T00:00:00"/>
    <x v="4"/>
    <n v="38980"/>
    <x v="0"/>
  </r>
  <r>
    <n v="16795"/>
    <s v="Anthony"/>
    <s v="Walsh"/>
    <s v="India "/>
    <x v="3"/>
    <x v="3"/>
    <s v="11 00 07"/>
    <s v="anthony.walsh@gmail.com"/>
    <x v="0"/>
    <x v="242"/>
    <x v="35"/>
    <d v="2020-01-10T00:00:00"/>
    <x v="0"/>
    <n v="66989"/>
    <x v="0"/>
  </r>
  <r>
    <n v="17301"/>
    <s v="Lauren"/>
    <s v="Piper"/>
    <s v="India "/>
    <x v="0"/>
    <x v="0"/>
    <s v="81 31 08"/>
    <s v="lauren.piper@gmail.com"/>
    <x v="2"/>
    <x v="243"/>
    <x v="35"/>
    <d v="2020-01-07T00:00:00"/>
    <x v="7"/>
    <n v="57999"/>
    <x v="0"/>
  </r>
  <r>
    <n v="13053"/>
    <s v="Stewart"/>
    <s v="Hunter"/>
    <s v="India "/>
    <x v="1"/>
    <x v="1"/>
    <s v="60 50 01"/>
    <s v="stewart.hunter@gmail.com"/>
    <x v="4"/>
    <x v="244"/>
    <x v="53"/>
    <d v="2020-04-15T00:00:00"/>
    <x v="9"/>
    <n v="38980"/>
    <x v="0"/>
  </r>
  <r>
    <n v="13958"/>
    <s v="Emma"/>
    <s v="Lyman"/>
    <s v="India "/>
    <x v="0"/>
    <x v="0"/>
    <s v="81 31 08"/>
    <s v="emma.lyman@gmail.com"/>
    <x v="0"/>
    <x v="245"/>
    <x v="54"/>
    <d v="2020-02-21T00:00:00"/>
    <x v="6"/>
    <n v="66989"/>
    <x v="0"/>
  </r>
  <r>
    <n v="15125"/>
    <s v="Eric"/>
    <s v="Lambert"/>
    <s v="India "/>
    <x v="2"/>
    <x v="2"/>
    <s v="38 84 21"/>
    <s v="eric.lambert@gmail.com"/>
    <x v="1"/>
    <x v="246"/>
    <x v="55"/>
    <d v="2020-05-23T00:00:00"/>
    <x v="3"/>
    <n v="34690"/>
    <x v="0"/>
  </r>
  <r>
    <n v="23185"/>
    <s v="Fiona"/>
    <s v="Davies"/>
    <s v="India "/>
    <x v="2"/>
    <x v="2"/>
    <s v="38 84 21"/>
    <s v="fiona.davies@gmail.com"/>
    <x v="2"/>
    <x v="247"/>
    <x v="54"/>
    <d v="2020-02-21T00:00:00"/>
    <x v="9"/>
    <n v="57999"/>
    <x v="0"/>
  </r>
  <r>
    <n v="24572"/>
    <s v="James"/>
    <s v="Burgess"/>
    <s v="India "/>
    <x v="3"/>
    <x v="3"/>
    <s v="11 00 07"/>
    <s v="james.burgess@gmail.com"/>
    <x v="3"/>
    <x v="19"/>
    <x v="55"/>
    <d v="2020-05-22T00:00:00"/>
    <x v="1"/>
    <n v="36990"/>
    <x v="0"/>
  </r>
  <r>
    <n v="24817"/>
    <s v="Virginia"/>
    <s v="McGrath"/>
    <s v="India "/>
    <x v="0"/>
    <x v="0"/>
    <s v="81 31 08"/>
    <s v="virginia.mcgrath@gmail.com"/>
    <x v="4"/>
    <x v="248"/>
    <x v="55"/>
    <d v="2020-05-23T00:00:00"/>
    <x v="2"/>
    <n v="38980"/>
    <x v="0"/>
  </r>
  <r>
    <n v="15605"/>
    <s v="Madeleine"/>
    <s v="Duncan"/>
    <s v="India "/>
    <x v="1"/>
    <x v="1"/>
    <s v="60 50 01"/>
    <s v="madeleine.duncan@gmail.com"/>
    <x v="0"/>
    <x v="249"/>
    <x v="6"/>
    <d v="2020-02-13T00:00:00"/>
    <x v="4"/>
    <n v="66989"/>
    <x v="0"/>
  </r>
  <r>
    <n v="22892"/>
    <s v="Leah"/>
    <s v="Paige"/>
    <s v="India "/>
    <x v="0"/>
    <x v="0"/>
    <s v="81 31 08"/>
    <s v="leah.paige@gmail.com"/>
    <x v="2"/>
    <x v="250"/>
    <x v="6"/>
    <d v="2020-02-15T00:00:00"/>
    <x v="1"/>
    <n v="57999"/>
    <x v="0"/>
  </r>
  <r>
    <n v="18738"/>
    <s v="Paul"/>
    <s v="MacLeod"/>
    <s v="India "/>
    <x v="2"/>
    <x v="2"/>
    <s v="38 84 21"/>
    <s v="paul.macleod@gmail.com"/>
    <x v="4"/>
    <x v="251"/>
    <x v="37"/>
    <d v="2020-04-11T00:00:00"/>
    <x v="2"/>
    <n v="38980"/>
    <x v="0"/>
  </r>
  <r>
    <n v="15892"/>
    <s v="Jonathan"/>
    <s v="Sutherland"/>
    <s v="India "/>
    <x v="2"/>
    <x v="2"/>
    <s v="38 84 21"/>
    <s v="jonathan.sutherland@gmail.com"/>
    <x v="0"/>
    <x v="252"/>
    <x v="37"/>
    <d v="2020-04-09T00:00:00"/>
    <x v="6"/>
    <n v="66989"/>
    <x v="0"/>
  </r>
  <r>
    <n v="19747"/>
    <s v="Kevin"/>
    <s v="Murray"/>
    <s v="India "/>
    <x v="2"/>
    <x v="2"/>
    <s v="38 84 21"/>
    <s v="kevin.murray@gmail.com"/>
    <x v="1"/>
    <x v="253"/>
    <x v="37"/>
    <d v="2020-04-10T00:00:00"/>
    <x v="8"/>
    <n v="34690"/>
    <x v="0"/>
  </r>
  <r>
    <n v="23731"/>
    <s v="Hannah"/>
    <s v="Payne"/>
    <s v="India "/>
    <x v="2"/>
    <x v="2"/>
    <s v="38 84 21"/>
    <s v="hannah.payne@gmail.com"/>
    <x v="3"/>
    <x v="254"/>
    <x v="35"/>
    <d v="2020-01-05T00:00:00"/>
    <x v="7"/>
    <n v="36990"/>
    <x v="0"/>
  </r>
  <r>
    <n v="23711"/>
    <s v="Jason"/>
    <s v="Blake"/>
    <s v="India "/>
    <x v="3"/>
    <x v="3"/>
    <s v="11 00 07"/>
    <s v="jason.blake@gmail.com"/>
    <x v="0"/>
    <x v="188"/>
    <x v="25"/>
    <d v="2020-04-01T00:00:00"/>
    <x v="2"/>
    <n v="66989"/>
    <x v="0"/>
  </r>
  <r>
    <n v="14774"/>
    <s v="Matt"/>
    <s v="Walker"/>
    <s v="India "/>
    <x v="0"/>
    <x v="0"/>
    <s v="81 31 08"/>
    <s v="matt.walker@gmail.com"/>
    <x v="4"/>
    <x v="255"/>
    <x v="56"/>
    <d v="2020-01-11T00:00:00"/>
    <x v="2"/>
    <n v="38980"/>
    <x v="0"/>
  </r>
  <r>
    <n v="24726"/>
    <s v="Ruth"/>
    <s v="Gill"/>
    <s v="India "/>
    <x v="1"/>
    <x v="1"/>
    <s v="60 50 01"/>
    <s v="ruth.gill@gmail.com"/>
    <x v="2"/>
    <x v="256"/>
    <x v="25"/>
    <d v="2020-04-01T00:00:00"/>
    <x v="6"/>
    <n v="57999"/>
    <x v="0"/>
  </r>
  <r>
    <n v="14797"/>
    <s v="Thomas"/>
    <s v="Fisher"/>
    <s v="India "/>
    <x v="0"/>
    <x v="0"/>
    <s v="81 31 08"/>
    <s v="thomas.fisher@gmail.com"/>
    <x v="3"/>
    <x v="257"/>
    <x v="57"/>
    <d v="2020-04-04T00:00:00"/>
    <x v="5"/>
    <n v="36990"/>
    <x v="0"/>
  </r>
  <r>
    <n v="14086"/>
    <s v="Diane"/>
    <s v="Forsyth"/>
    <s v="India "/>
    <x v="2"/>
    <x v="2"/>
    <s v="38 84 21"/>
    <s v="diane.forsyth@gmail.com"/>
    <x v="4"/>
    <x v="258"/>
    <x v="57"/>
    <d v="2020-04-04T00:00:00"/>
    <x v="3"/>
    <n v="38980"/>
    <x v="0"/>
  </r>
  <r>
    <n v="25040"/>
    <s v="Audrey"/>
    <s v="MacLeod"/>
    <s v="India "/>
    <x v="2"/>
    <x v="2"/>
    <s v="38 84 21"/>
    <s v="audrey.macleod@gmail.com"/>
    <x v="0"/>
    <x v="259"/>
    <x v="58"/>
    <d v="2020-04-28T00:00:00"/>
    <x v="1"/>
    <n v="66989"/>
    <x v="0"/>
  </r>
  <r>
    <n v="20122"/>
    <s v="Edward"/>
    <s v="Mills"/>
    <s v="India "/>
    <x v="2"/>
    <x v="2"/>
    <s v="38 84 21"/>
    <s v="edward.mills@gmail.com"/>
    <x v="2"/>
    <x v="260"/>
    <x v="59"/>
    <d v="2020-01-18T00:00:00"/>
    <x v="8"/>
    <n v="57999"/>
    <x v="0"/>
  </r>
  <r>
    <n v="24441"/>
    <s v="Warren"/>
    <s v="Dowd"/>
    <s v="India "/>
    <x v="3"/>
    <x v="3"/>
    <s v="11 00 07"/>
    <s v="warren.dowd@gmail.com"/>
    <x v="4"/>
    <x v="261"/>
    <x v="60"/>
    <d v="2020-01-21T00:00:00"/>
    <x v="3"/>
    <n v="38980"/>
    <x v="0"/>
  </r>
  <r>
    <n v="14159"/>
    <s v="Alan"/>
    <s v="Vance"/>
    <s v="India "/>
    <x v="2"/>
    <x v="2"/>
    <s v="38 84 21"/>
    <s v="alan.vance@gmail.com"/>
    <x v="0"/>
    <x v="230"/>
    <x v="42"/>
    <d v="2020-06-02T00:00:00"/>
    <x v="5"/>
    <n v="66989"/>
    <x v="0"/>
  </r>
  <r>
    <n v="16363"/>
    <s v="Pippa"/>
    <s v="Wright"/>
    <s v="India "/>
    <x v="2"/>
    <x v="2"/>
    <s v="38 84 21"/>
    <s v="pippa.wright@gmail.com"/>
    <x v="1"/>
    <x v="262"/>
    <x v="42"/>
    <d v="2020-06-02T00:00:00"/>
    <x v="8"/>
    <n v="34690"/>
    <x v="0"/>
  </r>
  <r>
    <n v="19642"/>
    <s v="Carl"/>
    <s v="Brown"/>
    <s v="India "/>
    <x v="3"/>
    <x v="3"/>
    <s v="11 00 07"/>
    <s v="carl.brown@gmail.com"/>
    <x v="0"/>
    <x v="263"/>
    <x v="3"/>
    <d v="2020-05-13T00:00:00"/>
    <x v="1"/>
    <n v="66989"/>
    <x v="0"/>
  </r>
  <r>
    <n v="16043"/>
    <s v="Gordon"/>
    <s v="Ross"/>
    <s v="India "/>
    <x v="3"/>
    <x v="3"/>
    <s v="11 00 07"/>
    <s v="gordon.ross@gmail.com"/>
    <x v="1"/>
    <x v="264"/>
    <x v="4"/>
    <d v="2020-04-09T00:00:00"/>
    <x v="5"/>
    <n v="34690"/>
    <x v="0"/>
  </r>
  <r>
    <n v="22469"/>
    <s v="Sarah"/>
    <s v="Lee"/>
    <s v="India "/>
    <x v="0"/>
    <x v="0"/>
    <s v="81 31 08"/>
    <s v="sarah.lee@gmail.com"/>
    <x v="2"/>
    <x v="265"/>
    <x v="5"/>
    <d v="2020-05-28T00:00:00"/>
    <x v="9"/>
    <n v="57999"/>
    <x v="0"/>
  </r>
  <r>
    <n v="16888"/>
    <s v="Fiona"/>
    <s v="Piper"/>
    <s v="India "/>
    <x v="1"/>
    <x v="1"/>
    <s v="60 50 01"/>
    <s v="fiona.piper@gmail.com"/>
    <x v="3"/>
    <x v="230"/>
    <x v="6"/>
    <d v="2020-02-15T00:00:00"/>
    <x v="1"/>
    <n v="36990"/>
    <x v="0"/>
  </r>
  <r>
    <n v="14965"/>
    <s v="Stephanie"/>
    <s v="Thomson"/>
    <s v="India "/>
    <x v="0"/>
    <x v="0"/>
    <s v="81 31 08"/>
    <s v="stephanie.thomson@gmail.com"/>
    <x v="4"/>
    <x v="30"/>
    <x v="6"/>
    <d v="2020-02-14T00:00:00"/>
    <x v="6"/>
    <n v="38980"/>
    <x v="0"/>
  </r>
  <r>
    <n v="12601"/>
    <s v="Lisa"/>
    <s v="Gibson"/>
    <s v="India "/>
    <x v="2"/>
    <x v="2"/>
    <s v="38 84 21"/>
    <s v="lisa.gibson@gmail.com"/>
    <x v="0"/>
    <x v="266"/>
    <x v="7"/>
    <d v="2020-05-16T00:00:00"/>
    <x v="9"/>
    <n v="66989"/>
    <x v="0"/>
  </r>
  <r>
    <n v="17451"/>
    <s v="Virginia"/>
    <s v="Mathis"/>
    <s v="India "/>
    <x v="2"/>
    <x v="2"/>
    <s v="38 84 21"/>
    <s v="virginia.mathis@gmail.com"/>
    <x v="2"/>
    <x v="267"/>
    <x v="8"/>
    <d v="2020-05-23T00:00:00"/>
    <x v="7"/>
    <n v="57999"/>
    <x v="0"/>
  </r>
  <r>
    <n v="23415"/>
    <s v="Jason"/>
    <s v="Simpson"/>
    <s v="India "/>
    <x v="3"/>
    <x v="3"/>
    <s v="11 00 07"/>
    <s v="jason.simpson@gmail.com"/>
    <x v="4"/>
    <x v="183"/>
    <x v="7"/>
    <d v="2020-05-16T00:00:00"/>
    <x v="9"/>
    <n v="38980"/>
    <x v="0"/>
  </r>
  <r>
    <n v="20367"/>
    <s v="Maria"/>
    <s v="Reid"/>
    <s v="India "/>
    <x v="0"/>
    <x v="0"/>
    <s v="81 31 08"/>
    <s v="maria.reid@gmail.com"/>
    <x v="0"/>
    <x v="268"/>
    <x v="8"/>
    <d v="2020-05-22T00:00:00"/>
    <x v="5"/>
    <n v="66989"/>
    <x v="0"/>
  </r>
  <r>
    <n v="23682"/>
    <s v="Stephanie"/>
    <s v="Kelly"/>
    <s v="India "/>
    <x v="1"/>
    <x v="1"/>
    <s v="60 50 01"/>
    <s v="stephanie.kelly@gmail.com"/>
    <x v="1"/>
    <x v="269"/>
    <x v="8"/>
    <d v="2020-05-23T00:00:00"/>
    <x v="0"/>
    <n v="34690"/>
    <x v="0"/>
  </r>
  <r>
    <n v="14105"/>
    <s v="Benjamin"/>
    <s v="Graham"/>
    <s v="India "/>
    <x v="0"/>
    <x v="0"/>
    <s v="81 31 08"/>
    <s v="benjamin.graham@gmail.com"/>
    <x v="3"/>
    <x v="157"/>
    <x v="9"/>
    <d v="2020-01-29T00:00:00"/>
    <x v="9"/>
    <n v="36990"/>
    <x v="0"/>
  </r>
  <r>
    <n v="23586"/>
    <s v="Jake"/>
    <s v="Dowd"/>
    <s v="India "/>
    <x v="2"/>
    <x v="2"/>
    <s v="38 84 21"/>
    <s v="jake.dowd@gmail.com"/>
    <x v="0"/>
    <x v="270"/>
    <x v="9"/>
    <d v="2020-01-30T00:00:00"/>
    <x v="0"/>
    <n v="66989"/>
    <x v="0"/>
  </r>
  <r>
    <n v="13875"/>
    <s v="Edward"/>
    <s v="Parsons"/>
    <s v="India "/>
    <x v="2"/>
    <x v="2"/>
    <s v="38 84 21"/>
    <s v="edward.parsons@gmail.com"/>
    <x v="4"/>
    <x v="271"/>
    <x v="10"/>
    <d v="2020-05-04T00:00:00"/>
    <x v="0"/>
    <n v="38980"/>
    <x v="0"/>
  </r>
  <r>
    <n v="18936"/>
    <s v="Alexander"/>
    <s v="Buckland"/>
    <s v="India "/>
    <x v="3"/>
    <x v="3"/>
    <s v="11 00 07"/>
    <s v="alexander.buckland@gmail.com"/>
    <x v="3"/>
    <x v="272"/>
    <x v="11"/>
    <d v="2020-02-23T00:00:00"/>
    <x v="4"/>
    <n v="36990"/>
    <x v="0"/>
  </r>
  <r>
    <n v="18450"/>
    <s v="Rose"/>
    <s v="Walker"/>
    <s v="India "/>
    <x v="0"/>
    <x v="0"/>
    <s v="81 31 08"/>
    <s v="rose.walker@gmail.com"/>
    <x v="4"/>
    <x v="273"/>
    <x v="12"/>
    <d v="2020-03-28T00:00:00"/>
    <x v="4"/>
    <n v="38980"/>
    <x v="0"/>
  </r>
  <r>
    <n v="16944"/>
    <s v="Nicholas"/>
    <s v="Parsons"/>
    <s v="India "/>
    <x v="3"/>
    <x v="3"/>
    <s v="11 00 07"/>
    <s v="nicholas.parsons@gmail.com"/>
    <x v="0"/>
    <x v="274"/>
    <x v="13"/>
    <d v="2020-01-22T00:00:00"/>
    <x v="3"/>
    <n v="66989"/>
    <x v="0"/>
  </r>
  <r>
    <n v="22630"/>
    <s v="David"/>
    <s v="Ince"/>
    <s v="India "/>
    <x v="0"/>
    <x v="0"/>
    <s v="81 31 08"/>
    <s v="david.ince@gmail.com"/>
    <x v="2"/>
    <x v="81"/>
    <x v="14"/>
    <d v="2020-03-19T00:00:00"/>
    <x v="1"/>
    <n v="57999"/>
    <x v="0"/>
  </r>
  <r>
    <n v="16539"/>
    <s v="Ella"/>
    <s v="Bell"/>
    <s v="India "/>
    <x v="1"/>
    <x v="1"/>
    <s v="60 50 01"/>
    <s v="ella.bell@gmail.com"/>
    <x v="4"/>
    <x v="275"/>
    <x v="15"/>
    <d v="2020-06-17T00:00:00"/>
    <x v="9"/>
    <n v="38980"/>
    <x v="0"/>
  </r>
  <r>
    <n v="18265"/>
    <s v="Sue"/>
    <s v="Metcalfe"/>
    <s v="India "/>
    <x v="0"/>
    <x v="0"/>
    <s v="81 31 08"/>
    <s v="sue.metcalfe@gmail.com"/>
    <x v="0"/>
    <x v="276"/>
    <x v="15"/>
    <d v="2020-06-16T00:00:00"/>
    <x v="1"/>
    <n v="66989"/>
    <x v="0"/>
  </r>
  <r>
    <n v="19922"/>
    <s v="Frank"/>
    <s v="Marshall"/>
    <s v="India "/>
    <x v="2"/>
    <x v="2"/>
    <s v="38 84 21"/>
    <s v="frank.marshall@gmail.com"/>
    <x v="1"/>
    <x v="277"/>
    <x v="16"/>
    <d v="2020-05-11T00:00:00"/>
    <x v="8"/>
    <n v="34690"/>
    <x v="0"/>
  </r>
  <r>
    <n v="15334"/>
    <s v="Max"/>
    <s v="Kerr"/>
    <s v="India "/>
    <x v="0"/>
    <x v="0"/>
    <s v="81 31 08"/>
    <s v="max.kerr@gmail.com"/>
    <x v="3"/>
    <x v="142"/>
    <x v="32"/>
    <d v="2020-05-05T00:00:00"/>
    <x v="6"/>
    <n v="36990"/>
    <x v="0"/>
  </r>
  <r>
    <n v="23980"/>
    <s v="Maria"/>
    <s v="Buckland"/>
    <s v="India "/>
    <x v="1"/>
    <x v="1"/>
    <s v="60 50 01"/>
    <s v="maria.buckland@gmail.com"/>
    <x v="0"/>
    <x v="278"/>
    <x v="32"/>
    <d v="2020-05-05T00:00:00"/>
    <x v="6"/>
    <n v="66989"/>
    <x v="0"/>
  </r>
  <r>
    <n v="20077"/>
    <s v="Karen"/>
    <s v="Fisher"/>
    <s v="India "/>
    <x v="0"/>
    <x v="0"/>
    <s v="81 31 08"/>
    <s v="karen.fisher@gmail.com"/>
    <x v="4"/>
    <x v="279"/>
    <x v="32"/>
    <d v="2020-05-04T00:00:00"/>
    <x v="1"/>
    <n v="38980"/>
    <x v="0"/>
  </r>
  <r>
    <n v="12916"/>
    <s v="Ryan"/>
    <s v="Ellison"/>
    <s v="India "/>
    <x v="2"/>
    <x v="2"/>
    <s v="38 84 21"/>
    <s v="ryan.ellison@gmail.com"/>
    <x v="2"/>
    <x v="280"/>
    <x v="33"/>
    <d v="2020-06-24T00:00:00"/>
    <x v="1"/>
    <n v="57999"/>
    <x v="0"/>
  </r>
  <r>
    <n v="15782"/>
    <s v="Victoria"/>
    <s v="Dowd"/>
    <s v="India "/>
    <x v="2"/>
    <x v="2"/>
    <s v="38 84 21"/>
    <s v="victoria.dowd@gmail.com"/>
    <x v="3"/>
    <x v="281"/>
    <x v="34"/>
    <d v="2020-04-07T00:00:00"/>
    <x v="8"/>
    <n v="36990"/>
    <x v="0"/>
  </r>
  <r>
    <n v="21253"/>
    <s v="Sebastian"/>
    <s v="King"/>
    <s v="India "/>
    <x v="2"/>
    <x v="2"/>
    <s v="38 84 21"/>
    <s v="sebastian.king@gmail.com"/>
    <x v="4"/>
    <x v="282"/>
    <x v="33"/>
    <d v="2020-06-24T00:00:00"/>
    <x v="2"/>
    <n v="38980"/>
    <x v="0"/>
  </r>
  <r>
    <n v="15881"/>
    <s v="Cameron"/>
    <s v="Davidson"/>
    <s v="India "/>
    <x v="2"/>
    <x v="2"/>
    <s v="38 84 21"/>
    <s v="cameron.davidson@gmail.com"/>
    <x v="0"/>
    <x v="283"/>
    <x v="33"/>
    <d v="2020-06-23T00:00:00"/>
    <x v="5"/>
    <n v="66989"/>
    <x v="0"/>
  </r>
  <r>
    <n v="20504"/>
    <s v="Carol"/>
    <s v="Lambert"/>
    <s v="India "/>
    <x v="3"/>
    <x v="3"/>
    <s v="11 00 07"/>
    <s v="carol.lambert@gmail.com"/>
    <x v="2"/>
    <x v="86"/>
    <x v="34"/>
    <d v="2020-04-07T00:00:00"/>
    <x v="6"/>
    <n v="57999"/>
    <x v="0"/>
  </r>
  <r>
    <n v="20463"/>
    <s v="Joanne"/>
    <s v="Lee"/>
    <s v="India "/>
    <x v="0"/>
    <x v="0"/>
    <s v="81 31 08"/>
    <s v="joanne.lee@gmail.com"/>
    <x v="4"/>
    <x v="284"/>
    <x v="33"/>
    <d v="2020-06-23T00:00:00"/>
    <x v="7"/>
    <n v="38980"/>
    <x v="0"/>
  </r>
  <r>
    <n v="21459"/>
    <s v="Richard"/>
    <s v="Graham"/>
    <s v="India "/>
    <x v="1"/>
    <x v="1"/>
    <s v="60 50 01"/>
    <s v="richard.graham@gmail.com"/>
    <x v="0"/>
    <x v="43"/>
    <x v="35"/>
    <d v="2020-01-04T00:00:00"/>
    <x v="0"/>
    <n v="66989"/>
    <x v="0"/>
  </r>
  <r>
    <n v="19844"/>
    <s v="Zoe"/>
    <s v="Hunter"/>
    <s v="India "/>
    <x v="0"/>
    <x v="0"/>
    <s v="81 31 08"/>
    <s v="zoe.hunter@gmail.com"/>
    <x v="1"/>
    <x v="158"/>
    <x v="36"/>
    <d v="2020-04-06T00:00:00"/>
    <x v="8"/>
    <n v="34690"/>
    <x v="0"/>
  </r>
  <r>
    <n v="16528"/>
    <s v="Ava"/>
    <s v="Ellison"/>
    <s v="India "/>
    <x v="2"/>
    <x v="2"/>
    <s v="38 84 21"/>
    <s v="ava.ellison@gmail.com"/>
    <x v="2"/>
    <x v="32"/>
    <x v="36"/>
    <d v="2020-04-06T00:00:00"/>
    <x v="9"/>
    <n v="57999"/>
    <x v="0"/>
  </r>
  <r>
    <n v="13960"/>
    <s v="Rebecca"/>
    <s v="Young"/>
    <s v="India "/>
    <x v="2"/>
    <x v="2"/>
    <s v="38 84 21"/>
    <s v="rebecca.young@gmail.com"/>
    <x v="3"/>
    <x v="30"/>
    <x v="37"/>
    <d v="2020-04-11T00:00:00"/>
    <x v="7"/>
    <n v="36990"/>
    <x v="0"/>
  </r>
  <r>
    <n v="17227"/>
    <s v="Madeleine"/>
    <s v="Pullman"/>
    <s v="India "/>
    <x v="3"/>
    <x v="3"/>
    <s v="11 00 07"/>
    <s v="madeleine.pullman@gmail.com"/>
    <x v="4"/>
    <x v="40"/>
    <x v="35"/>
    <d v="2020-01-04T00:00:00"/>
    <x v="0"/>
    <n v="38980"/>
    <x v="0"/>
  </r>
  <r>
    <n v="13040"/>
    <s v="Kimberly"/>
    <s v="James"/>
    <s v="India "/>
    <x v="0"/>
    <x v="0"/>
    <s v="81 31 08"/>
    <s v="kimberly.james@gmail.com"/>
    <x v="0"/>
    <x v="285"/>
    <x v="36"/>
    <d v="2020-04-06T00:00:00"/>
    <x v="8"/>
    <n v="66989"/>
    <x v="0"/>
  </r>
  <r>
    <n v="23407"/>
    <s v="Ruth"/>
    <s v="Martin"/>
    <s v="India "/>
    <x v="1"/>
    <x v="1"/>
    <s v="60 50 01"/>
    <s v="ruth.martin@gmail.com"/>
    <x v="2"/>
    <x v="207"/>
    <x v="36"/>
    <d v="2020-04-06T00:00:00"/>
    <x v="8"/>
    <n v="57999"/>
    <x v="0"/>
  </r>
  <r>
    <n v="25104"/>
    <s v="Grace"/>
    <s v="King"/>
    <s v="India "/>
    <x v="0"/>
    <x v="0"/>
    <s v="81 31 08"/>
    <s v="grace.king@gmail.com"/>
    <x v="4"/>
    <x v="286"/>
    <x v="37"/>
    <d v="2020-04-11T00:00:00"/>
    <x v="7"/>
    <n v="38980"/>
    <x v="0"/>
  </r>
  <r>
    <n v="16366"/>
    <s v="Leah"/>
    <s v="Short"/>
    <s v="India "/>
    <x v="2"/>
    <x v="2"/>
    <s v="38 84 21"/>
    <s v="leah.short@gmail.com"/>
    <x v="0"/>
    <x v="287"/>
    <x v="38"/>
    <d v="2020-01-13T00:00:00"/>
    <x v="4"/>
    <n v="66989"/>
    <x v="0"/>
  </r>
  <r>
    <n v="21908"/>
    <s v="Joan"/>
    <s v="Jones"/>
    <s v="India "/>
    <x v="2"/>
    <x v="2"/>
    <s v="38 84 21"/>
    <s v="joan.jones@gmail.com"/>
    <x v="1"/>
    <x v="288"/>
    <x v="38"/>
    <d v="2020-01-14T00:00:00"/>
    <x v="1"/>
    <n v="34690"/>
    <x v="0"/>
  </r>
  <r>
    <n v="12973"/>
    <s v="Hannah"/>
    <s v="Vaughan"/>
    <s v="India "/>
    <x v="2"/>
    <x v="2"/>
    <s v="38 84 21"/>
    <s v="hannah.vaughan@gmail.com"/>
    <x v="3"/>
    <x v="261"/>
    <x v="37"/>
    <d v="2020-04-10T00:00:00"/>
    <x v="7"/>
    <n v="36990"/>
    <x v="0"/>
  </r>
  <r>
    <n v="18981"/>
    <s v="Max"/>
    <s v="Morrison"/>
    <s v="India "/>
    <x v="3"/>
    <x v="3"/>
    <s v="11 00 07"/>
    <s v="max.morrison@gmail.com"/>
    <x v="0"/>
    <x v="289"/>
    <x v="39"/>
    <d v="2020-01-28T00:00:00"/>
    <x v="1"/>
    <n v="66989"/>
    <x v="0"/>
  </r>
  <r>
    <n v="23905"/>
    <s v="Steven"/>
    <s v="White"/>
    <s v="India "/>
    <x v="2"/>
    <x v="2"/>
    <s v="38 84 21"/>
    <s v="steven.white@gmail.com"/>
    <x v="4"/>
    <x v="290"/>
    <x v="40"/>
    <d v="2020-05-26T00:00:00"/>
    <x v="7"/>
    <n v="38980"/>
    <x v="0"/>
  </r>
  <r>
    <n v="25057"/>
    <s v="Richard"/>
    <s v="MacDonald"/>
    <s v="India "/>
    <x v="2"/>
    <x v="2"/>
    <s v="38 84 21"/>
    <s v="richard.macdonald@gmail.com"/>
    <x v="2"/>
    <x v="291"/>
    <x v="41"/>
    <d v="2020-05-17T00:00:00"/>
    <x v="0"/>
    <n v="57999"/>
    <x v="0"/>
  </r>
  <r>
    <n v="24679"/>
    <s v="Dominic"/>
    <s v="Mitchell"/>
    <s v="India "/>
    <x v="3"/>
    <x v="3"/>
    <s v="11 00 07"/>
    <s v="dominic.mitchell@gmail.com"/>
    <x v="3"/>
    <x v="292"/>
    <x v="41"/>
    <d v="2020-05-17T00:00:00"/>
    <x v="3"/>
    <n v="36990"/>
    <x v="0"/>
  </r>
  <r>
    <n v="17647"/>
    <s v="Heather"/>
    <s v="Sanderson"/>
    <s v="India "/>
    <x v="3"/>
    <x v="3"/>
    <s v="11 00 07"/>
    <s v="heather.sanderson@gmail.com"/>
    <x v="4"/>
    <x v="293"/>
    <x v="42"/>
    <d v="2020-06-03T00:00:00"/>
    <x v="6"/>
    <n v="38980"/>
    <x v="0"/>
  </r>
  <r>
    <n v="16993"/>
    <s v="Alison"/>
    <s v="Mackenzie"/>
    <s v="India "/>
    <x v="0"/>
    <x v="0"/>
    <s v="81 31 08"/>
    <s v="alison.mackenzie@gmail.com"/>
    <x v="0"/>
    <x v="294"/>
    <x v="42"/>
    <d v="2020-06-03T00:00:00"/>
    <x v="3"/>
    <n v="66989"/>
    <x v="0"/>
  </r>
  <r>
    <n v="23217"/>
    <s v="Boris"/>
    <s v="Chapman"/>
    <s v="India "/>
    <x v="1"/>
    <x v="1"/>
    <s v="60 50 01"/>
    <s v="boris.chapman@gmail.com"/>
    <x v="2"/>
    <x v="295"/>
    <x v="43"/>
    <d v="2020-01-17T00:00:00"/>
    <x v="5"/>
    <n v="57999"/>
    <x v="0"/>
  </r>
  <r>
    <n v="14058"/>
    <s v="Joseph"/>
    <s v="Manning"/>
    <s v="India "/>
    <x v="0"/>
    <x v="0"/>
    <s v="81 31 08"/>
    <s v="joseph.manning@gmail.com"/>
    <x v="4"/>
    <x v="296"/>
    <x v="44"/>
    <d v="2020-03-16T00:00:00"/>
    <x v="8"/>
    <n v="38980"/>
    <x v="0"/>
  </r>
  <r>
    <n v="15001"/>
    <s v="Lily"/>
    <s v="Paterson"/>
    <s v="India "/>
    <x v="2"/>
    <x v="2"/>
    <s v="38 84 21"/>
    <s v="lily.paterson@gmail.com"/>
    <x v="0"/>
    <x v="297"/>
    <x v="14"/>
    <d v="2020-03-13T00:00:00"/>
    <x v="4"/>
    <n v="66989"/>
    <x v="0"/>
  </r>
  <r>
    <n v="23900"/>
    <s v="Bella"/>
    <s v="Wilkins"/>
    <s v="India "/>
    <x v="2"/>
    <x v="2"/>
    <s v="38 84 21"/>
    <s v="bella.wilkins@gmail.com"/>
    <x v="1"/>
    <x v="298"/>
    <x v="45"/>
    <d v="2020-04-24T00:00:00"/>
    <x v="0"/>
    <n v="34690"/>
    <x v="0"/>
  </r>
  <r>
    <n v="21407"/>
    <s v="Christopher"/>
    <s v="Oliver"/>
    <s v="India "/>
    <x v="3"/>
    <x v="3"/>
    <s v="11 00 07"/>
    <s v="christopher.oliver@gmail.com"/>
    <x v="0"/>
    <x v="89"/>
    <x v="46"/>
    <d v="2020-01-23T00:00:00"/>
    <x v="2"/>
    <n v="66989"/>
    <x v="0"/>
  </r>
  <r>
    <n v="25061"/>
    <s v="Gordon"/>
    <s v="Gill"/>
    <s v="India "/>
    <x v="0"/>
    <x v="0"/>
    <s v="81 31 08"/>
    <s v="gordon.gill@gmail.com"/>
    <x v="1"/>
    <x v="299"/>
    <x v="18"/>
    <d v="2020-04-22T00:00:00"/>
    <x v="9"/>
    <n v="34690"/>
    <x v="0"/>
  </r>
  <r>
    <n v="23778"/>
    <s v="Ella"/>
    <s v="Martin"/>
    <s v="India "/>
    <x v="2"/>
    <x v="2"/>
    <s v="38 84 21"/>
    <s v="ella.martin@gmail.com"/>
    <x v="2"/>
    <x v="300"/>
    <x v="43"/>
    <d v="2020-01-16T00:00:00"/>
    <x v="2"/>
    <n v="57999"/>
    <x v="0"/>
  </r>
  <r>
    <n v="14760"/>
    <s v="Kylie"/>
    <s v="Abraham"/>
    <s v="India "/>
    <x v="3"/>
    <x v="3"/>
    <s v="11 00 07"/>
    <s v="kylie.abraham@gmail.com"/>
    <x v="3"/>
    <x v="301"/>
    <x v="47"/>
    <d v="2020-04-26T00:00:00"/>
    <x v="7"/>
    <n v="36990"/>
    <x v="0"/>
  </r>
  <r>
    <n v="12613"/>
    <s v="Charles"/>
    <s v="Bell"/>
    <s v="India "/>
    <x v="0"/>
    <x v="0"/>
    <s v="81 31 08"/>
    <s v="charles.bell@gmail.com"/>
    <x v="4"/>
    <x v="302"/>
    <x v="48"/>
    <d v="2020-04-01T00:00:00"/>
    <x v="1"/>
    <n v="38980"/>
    <x v="0"/>
  </r>
  <r>
    <n v="22557"/>
    <s v="Cameron"/>
    <s v="Bailey"/>
    <s v="India "/>
    <x v="3"/>
    <x v="3"/>
    <s v="11 00 07"/>
    <s v="cameron.bailey@gmail.com"/>
    <x v="0"/>
    <x v="303"/>
    <x v="49"/>
    <d v="2020-06-22T00:00:00"/>
    <x v="8"/>
    <n v="66989"/>
    <x v="0"/>
  </r>
  <r>
    <n v="13183"/>
    <s v="Stephanie"/>
    <s v="Coleman"/>
    <s v="India "/>
    <x v="0"/>
    <x v="0"/>
    <s v="81 31 08"/>
    <s v="stephanie.coleman@gmail.com"/>
    <x v="2"/>
    <x v="304"/>
    <x v="50"/>
    <d v="2020-05-15T00:00:00"/>
    <x v="8"/>
    <n v="57999"/>
    <x v="0"/>
  </r>
  <r>
    <n v="14866"/>
    <s v="Jack"/>
    <s v="Ogden"/>
    <s v="India "/>
    <x v="1"/>
    <x v="1"/>
    <s v="60 50 01"/>
    <s v="jack.ogden@gmail.com"/>
    <x v="4"/>
    <x v="170"/>
    <x v="51"/>
    <d v="2020-01-26T00:00:00"/>
    <x v="0"/>
    <n v="38980"/>
    <x v="0"/>
  </r>
  <r>
    <n v="13800"/>
    <s v="Sam"/>
    <s v="Wilson"/>
    <s v="India "/>
    <x v="0"/>
    <x v="0"/>
    <s v="81 31 08"/>
    <s v="sam.wilson@gmail.com"/>
    <x v="0"/>
    <x v="305"/>
    <x v="22"/>
    <d v="2020-01-04T00:00:00"/>
    <x v="4"/>
    <n v="66989"/>
    <x v="0"/>
  </r>
  <r>
    <n v="14617"/>
    <s v="Sophie"/>
    <s v="Russell"/>
    <s v="India "/>
    <x v="2"/>
    <x v="2"/>
    <s v="38 84 21"/>
    <s v="sophie.russell@gmail.com"/>
    <x v="1"/>
    <x v="121"/>
    <x v="22"/>
    <d v="2020-01-03T00:00:00"/>
    <x v="8"/>
    <n v="34690"/>
    <x v="0"/>
  </r>
  <r>
    <n v="18023"/>
    <s v="Virginia"/>
    <s v="Powell"/>
    <s v="India "/>
    <x v="0"/>
    <x v="0"/>
    <s v="81 31 08"/>
    <s v="virginia.powell@gmail.com"/>
    <x v="3"/>
    <x v="167"/>
    <x v="52"/>
    <d v="2020-01-18T00:00:00"/>
    <x v="3"/>
    <n v="36990"/>
    <x v="0"/>
  </r>
  <r>
    <n v="20629"/>
    <s v="Piers"/>
    <s v="Sharp"/>
    <s v="India "/>
    <x v="1"/>
    <x v="1"/>
    <s v="60 50 01"/>
    <s v="piers.sharp@gmail.com"/>
    <x v="0"/>
    <x v="306"/>
    <x v="35"/>
    <d v="2020-01-05T00:00:00"/>
    <x v="2"/>
    <n v="66989"/>
    <x v="0"/>
  </r>
  <r>
    <n v="13154"/>
    <s v="Matt"/>
    <s v="Stewart"/>
    <s v="India "/>
    <x v="0"/>
    <x v="0"/>
    <s v="81 31 08"/>
    <s v="matt.stewart@gmail.com"/>
    <x v="4"/>
    <x v="245"/>
    <x v="35"/>
    <d v="2020-01-10T00:00:00"/>
    <x v="0"/>
    <n v="38980"/>
    <x v="0"/>
  </r>
  <r>
    <n v="25682"/>
    <s v="Adrian"/>
    <s v="Piper"/>
    <s v="India "/>
    <x v="2"/>
    <x v="2"/>
    <s v="38 84 21"/>
    <s v="adrian.piper@gmail.com"/>
    <x v="2"/>
    <x v="307"/>
    <x v="35"/>
    <d v="2020-01-07T00:00:00"/>
    <x v="3"/>
    <n v="57999"/>
    <x v="0"/>
  </r>
  <r>
    <n v="18951"/>
    <s v="Victor"/>
    <s v="Davies"/>
    <s v="India "/>
    <x v="2"/>
    <x v="2"/>
    <s v="38 84 21"/>
    <s v="victor.davies@gmail.com"/>
    <x v="3"/>
    <x v="308"/>
    <x v="53"/>
    <d v="2020-04-15T00:00:00"/>
    <x v="9"/>
    <n v="36990"/>
    <x v="0"/>
  </r>
  <r>
    <n v="15300"/>
    <s v="Sam"/>
    <s v="Fisher"/>
    <s v="India "/>
    <x v="2"/>
    <x v="2"/>
    <s v="38 84 21"/>
    <s v="sam.fisher@gmail.com"/>
    <x v="4"/>
    <x v="31"/>
    <x v="54"/>
    <d v="2020-02-21T00:00:00"/>
    <x v="1"/>
    <n v="38980"/>
    <x v="0"/>
  </r>
  <r>
    <n v="20209"/>
    <s v="Jan"/>
    <s v="Tucker"/>
    <s v="India "/>
    <x v="2"/>
    <x v="2"/>
    <s v="38 84 21"/>
    <s v="jan.tucker@gmail.com"/>
    <x v="0"/>
    <x v="309"/>
    <x v="55"/>
    <d v="2020-05-23T00:00:00"/>
    <x v="1"/>
    <n v="66989"/>
    <x v="0"/>
  </r>
  <r>
    <n v="24395"/>
    <s v="Alexander"/>
    <s v="Nash"/>
    <s v="India "/>
    <x v="3"/>
    <x v="3"/>
    <s v="11 00 07"/>
    <s v="alexander.nash@gmail.com"/>
    <x v="2"/>
    <x v="310"/>
    <x v="54"/>
    <d v="2020-02-21T00:00:00"/>
    <x v="2"/>
    <n v="57999"/>
    <x v="0"/>
  </r>
  <r>
    <n v="23208"/>
    <s v="Bella"/>
    <s v="Henderson"/>
    <s v="India "/>
    <x v="0"/>
    <x v="0"/>
    <s v="81 31 08"/>
    <s v="bella.henderson@gmail.com"/>
    <x v="4"/>
    <x v="183"/>
    <x v="55"/>
    <d v="2020-05-22T00:00:00"/>
    <x v="9"/>
    <n v="38980"/>
    <x v="0"/>
  </r>
  <r>
    <n v="19965"/>
    <s v="Amanda"/>
    <s v="Marshall"/>
    <s v="India "/>
    <x v="1"/>
    <x v="1"/>
    <s v="60 50 01"/>
    <s v="amanda.marshall@gmail.com"/>
    <x v="0"/>
    <x v="311"/>
    <x v="55"/>
    <d v="2020-05-23T00:00:00"/>
    <x v="2"/>
    <n v="66989"/>
    <x v="0"/>
  </r>
  <r>
    <n v="24017"/>
    <s v="Joshua"/>
    <s v="Wilson"/>
    <s v="India "/>
    <x v="0"/>
    <x v="0"/>
    <s v="81 31 08"/>
    <s v="joshua.wilson@gmail.com"/>
    <x v="1"/>
    <x v="312"/>
    <x v="6"/>
    <d v="2020-02-13T00:00:00"/>
    <x v="5"/>
    <n v="34690"/>
    <x v="0"/>
  </r>
  <r>
    <n v="25354"/>
    <s v="Peter"/>
    <s v="Scott"/>
    <s v="India "/>
    <x v="2"/>
    <x v="2"/>
    <s v="38 84 21"/>
    <s v="peter.scott@gmail.com"/>
    <x v="2"/>
    <x v="313"/>
    <x v="6"/>
    <d v="2020-02-15T00:00:00"/>
    <x v="8"/>
    <n v="57999"/>
    <x v="0"/>
  </r>
  <r>
    <n v="15902"/>
    <s v="Carol"/>
    <s v="Arnold"/>
    <s v="India "/>
    <x v="2"/>
    <x v="2"/>
    <s v="38 84 21"/>
    <s v="carol.arnold@gmail.com"/>
    <x v="3"/>
    <x v="314"/>
    <x v="37"/>
    <d v="2020-04-11T00:00:00"/>
    <x v="0"/>
    <n v="36990"/>
    <x v="0"/>
  </r>
  <r>
    <n v="23474"/>
    <s v="Lisa"/>
    <s v="MacDonald"/>
    <s v="India "/>
    <x v="3"/>
    <x v="3"/>
    <s v="11 00 07"/>
    <s v="lisa.macdonald@gmail.com"/>
    <x v="4"/>
    <x v="315"/>
    <x v="37"/>
    <d v="2020-04-09T00:00:00"/>
    <x v="7"/>
    <n v="38980"/>
    <x v="0"/>
  </r>
  <r>
    <n v="22204"/>
    <s v="Dorothy"/>
    <s v="McLean"/>
    <s v="India "/>
    <x v="0"/>
    <x v="0"/>
    <s v="81 31 08"/>
    <s v="dorothy.mclean@gmail.com"/>
    <x v="0"/>
    <x v="139"/>
    <x v="37"/>
    <d v="2020-04-10T00:00:00"/>
    <x v="3"/>
    <n v="66989"/>
    <x v="0"/>
  </r>
  <r>
    <n v="20606"/>
    <s v="Dan"/>
    <s v="Newman"/>
    <s v="India "/>
    <x v="1"/>
    <x v="1"/>
    <s v="60 50 01"/>
    <s v="dan.newman@gmail.com"/>
    <x v="2"/>
    <x v="316"/>
    <x v="35"/>
    <d v="2020-01-05T00:00:00"/>
    <x v="4"/>
    <n v="57999"/>
    <x v="0"/>
  </r>
  <r>
    <n v="15840"/>
    <s v="Ian"/>
    <s v="McLean"/>
    <s v="India "/>
    <x v="0"/>
    <x v="0"/>
    <s v="81 31 08"/>
    <s v="ian.mclean@gmail.com"/>
    <x v="3"/>
    <x v="317"/>
    <x v="25"/>
    <d v="2020-04-01T00:00:00"/>
    <x v="6"/>
    <n v="36990"/>
    <x v="0"/>
  </r>
  <r>
    <n v="23814"/>
    <s v="Carl"/>
    <s v="Slater"/>
    <s v="India "/>
    <x v="2"/>
    <x v="2"/>
    <s v="38 84 21"/>
    <s v="carl.slater@gmail.com"/>
    <x v="4"/>
    <x v="318"/>
    <x v="56"/>
    <d v="2020-01-11T00:00:00"/>
    <x v="7"/>
    <n v="38980"/>
    <x v="0"/>
  </r>
  <r>
    <n v="21507"/>
    <s v="Hannah"/>
    <s v="Scott"/>
    <s v="India "/>
    <x v="2"/>
    <x v="2"/>
    <s v="38 84 21"/>
    <s v="hannah.scott@gmail.com"/>
    <x v="0"/>
    <x v="319"/>
    <x v="25"/>
    <d v="2020-04-01T00:00:00"/>
    <x v="5"/>
    <n v="66989"/>
    <x v="0"/>
  </r>
  <r>
    <n v="23125"/>
    <s v="Deirdre"/>
    <s v="Henderson"/>
    <s v="India "/>
    <x v="2"/>
    <x v="2"/>
    <s v="38 84 21"/>
    <s v="deirdre.henderson@gmail.com"/>
    <x v="2"/>
    <x v="320"/>
    <x v="57"/>
    <d v="2020-04-04T00:00:00"/>
    <x v="9"/>
    <n v="57999"/>
    <x v="0"/>
  </r>
  <r>
    <n v="16616"/>
    <s v="Luke"/>
    <s v="Bailey"/>
    <s v="India "/>
    <x v="2"/>
    <x v="2"/>
    <s v="38 84 21"/>
    <s v="luke.bailey@gmail.com"/>
    <x v="4"/>
    <x v="321"/>
    <x v="57"/>
    <d v="2020-04-04T00:00:00"/>
    <x v="6"/>
    <n v="38980"/>
    <x v="0"/>
  </r>
  <r>
    <n v="20193"/>
    <s v="William"/>
    <s v="Glover"/>
    <s v="India "/>
    <x v="3"/>
    <x v="3"/>
    <s v="11 00 07"/>
    <s v="william.glover@gmail.com"/>
    <x v="0"/>
    <x v="322"/>
    <x v="58"/>
    <d v="2020-04-28T00:00:00"/>
    <x v="8"/>
    <n v="66989"/>
    <x v="0"/>
  </r>
  <r>
    <n v="12920"/>
    <s v="Chloe"/>
    <s v="Allan"/>
    <s v="India "/>
    <x v="0"/>
    <x v="0"/>
    <s v="81 31 08"/>
    <s v="chloe.allan@gmail.com"/>
    <x v="1"/>
    <x v="323"/>
    <x v="59"/>
    <d v="2020-01-18T00:00:00"/>
    <x v="7"/>
    <n v="34690"/>
    <x v="0"/>
  </r>
  <r>
    <n v="15015"/>
    <s v="Robert"/>
    <s v="Ferguson"/>
    <s v="India "/>
    <x v="1"/>
    <x v="1"/>
    <s v="60 50 01"/>
    <s v="robert.ferguson@gmail.com"/>
    <x v="3"/>
    <x v="324"/>
    <x v="60"/>
    <d v="2020-01-21T00:00:00"/>
    <x v="5"/>
    <n v="36990"/>
    <x v="0"/>
  </r>
  <r>
    <n v="14124"/>
    <s v="Diane"/>
    <s v="Ellison"/>
    <s v="India "/>
    <x v="0"/>
    <x v="0"/>
    <s v="81 31 08"/>
    <s v="diane.ellison@gmail.com"/>
    <x v="0"/>
    <x v="115"/>
    <x v="42"/>
    <d v="2020-06-02T00:00:00"/>
    <x v="0"/>
    <n v="66989"/>
    <x v="0"/>
  </r>
  <r>
    <n v="22928"/>
    <s v="Jasmine"/>
    <s v="Mackay"/>
    <s v="India "/>
    <x v="2"/>
    <x v="2"/>
    <s v="38 84 21"/>
    <s v="jasmine.mackay@gmail.com"/>
    <x v="4"/>
    <x v="325"/>
    <x v="42"/>
    <d v="2020-06-02T00:00:00"/>
    <x v="8"/>
    <n v="38980"/>
    <x v="0"/>
  </r>
  <r>
    <n v="16097"/>
    <s v="Carolyn"/>
    <s v="Ince"/>
    <s v="India "/>
    <x v="2"/>
    <x v="2"/>
    <s v="38 84 21"/>
    <s v="carolyn.ince@gmail.com"/>
    <x v="2"/>
    <x v="326"/>
    <x v="3"/>
    <d v="2020-05-13T00:00:00"/>
    <x v="7"/>
    <n v="57999"/>
    <x v="0"/>
  </r>
  <r>
    <n v="24522"/>
    <s v="Andrew"/>
    <s v="Walker"/>
    <s v="India "/>
    <x v="2"/>
    <x v="2"/>
    <s v="38 84 21"/>
    <s v="andrew.walker@gmail.com"/>
    <x v="3"/>
    <x v="14"/>
    <x v="4"/>
    <d v="2020-04-09T00:00:00"/>
    <x v="0"/>
    <n v="36990"/>
    <x v="0"/>
  </r>
  <r>
    <n v="21663"/>
    <s v="Katherine"/>
    <s v="Morgan"/>
    <s v="India "/>
    <x v="3"/>
    <x v="3"/>
    <s v="11 00 07"/>
    <s v="katherine.morgan@gmail.com"/>
    <x v="4"/>
    <x v="327"/>
    <x v="5"/>
    <d v="2020-05-28T00:00:00"/>
    <x v="4"/>
    <n v="38980"/>
    <x v="0"/>
  </r>
  <r>
    <n v="14535"/>
    <s v="William"/>
    <s v="MacDonald"/>
    <s v="India "/>
    <x v="2"/>
    <x v="2"/>
    <s v="38 84 21"/>
    <s v="william.macdonald@gmail.com"/>
    <x v="0"/>
    <x v="328"/>
    <x v="6"/>
    <d v="2020-02-15T00:00:00"/>
    <x v="3"/>
    <n v="66989"/>
    <x v="0"/>
  </r>
  <r>
    <n v="22169"/>
    <s v="Keith"/>
    <s v="Welch"/>
    <s v="India "/>
    <x v="2"/>
    <x v="2"/>
    <s v="38 84 21"/>
    <s v="keith.welch@gmail.com"/>
    <x v="2"/>
    <x v="294"/>
    <x v="6"/>
    <d v="2020-02-14T00:00:00"/>
    <x v="2"/>
    <n v="57999"/>
    <x v="0"/>
  </r>
  <r>
    <n v="14512"/>
    <s v="Kylie"/>
    <s v="Taylor"/>
    <s v="India "/>
    <x v="3"/>
    <x v="3"/>
    <s v="11 00 07"/>
    <s v="kylie.taylor@gmail.com"/>
    <x v="4"/>
    <x v="329"/>
    <x v="7"/>
    <d v="2020-05-16T00:00:00"/>
    <x v="8"/>
    <n v="38980"/>
    <x v="0"/>
  </r>
  <r>
    <n v="24325"/>
    <s v="Tim"/>
    <s v="Edmunds"/>
    <s v="India "/>
    <x v="3"/>
    <x v="3"/>
    <s v="11 00 07"/>
    <s v="tim.edmunds@gmail.com"/>
    <x v="0"/>
    <x v="330"/>
    <x v="8"/>
    <d v="2020-05-23T00:00:00"/>
    <x v="2"/>
    <n v="66989"/>
    <x v="0"/>
  </r>
  <r>
    <n v="18558"/>
    <s v="Ryan"/>
    <s v="Parsons"/>
    <s v="India "/>
    <x v="0"/>
    <x v="0"/>
    <s v="81 31 08"/>
    <s v="ryan.parsons@gmail.com"/>
    <x v="1"/>
    <x v="293"/>
    <x v="7"/>
    <d v="2020-05-16T00:00:00"/>
    <x v="0"/>
    <n v="34690"/>
    <x v="0"/>
  </r>
  <r>
    <n v="13240"/>
    <s v="Carolyn"/>
    <s v="Lewis"/>
    <s v="India "/>
    <x v="1"/>
    <x v="1"/>
    <s v="60 50 01"/>
    <s v="carolyn.lewis@gmail.com"/>
    <x v="2"/>
    <x v="331"/>
    <x v="8"/>
    <d v="2020-05-22T00:00:00"/>
    <x v="7"/>
    <n v="57999"/>
    <x v="0"/>
  </r>
  <r>
    <n v="13132"/>
    <s v="Warren"/>
    <s v="Berry"/>
    <s v="India "/>
    <x v="0"/>
    <x v="0"/>
    <s v="81 31 08"/>
    <s v="warren.berry@gmail.com"/>
    <x v="3"/>
    <x v="316"/>
    <x v="8"/>
    <d v="2020-05-23T00:00:00"/>
    <x v="0"/>
    <n v="36990"/>
    <x v="0"/>
  </r>
  <r>
    <n v="13232"/>
    <s v="Deirdre"/>
    <s v="Harris"/>
    <s v="India "/>
    <x v="2"/>
    <x v="2"/>
    <s v="38 84 21"/>
    <s v="deirdre.harris@gmail.com"/>
    <x v="4"/>
    <x v="332"/>
    <x v="9"/>
    <d v="2020-01-29T00:00:00"/>
    <x v="8"/>
    <n v="38980"/>
    <x v="0"/>
  </r>
  <r>
    <n v="18776"/>
    <s v="Sarah"/>
    <s v="Dowd"/>
    <s v="India "/>
    <x v="2"/>
    <x v="2"/>
    <s v="38 84 21"/>
    <s v="sarah.dowd@gmail.com"/>
    <x v="0"/>
    <x v="333"/>
    <x v="9"/>
    <d v="2020-01-30T00:00:00"/>
    <x v="4"/>
    <n v="66989"/>
    <x v="0"/>
  </r>
  <r>
    <n v="13445"/>
    <s v="Bernadette"/>
    <s v="Buckland"/>
    <s v="India "/>
    <x v="3"/>
    <x v="3"/>
    <s v="11 00 07"/>
    <s v="bernadette.buckland@gmail.com"/>
    <x v="2"/>
    <x v="143"/>
    <x v="10"/>
    <d v="2020-05-04T00:00:00"/>
    <x v="6"/>
    <n v="57999"/>
    <x v="0"/>
  </r>
  <r>
    <n v="14243"/>
    <s v="Tim"/>
    <s v="Hudson"/>
    <s v="India "/>
    <x v="0"/>
    <x v="0"/>
    <s v="81 31 08"/>
    <s v="tim.hudson@gmail.com"/>
    <x v="4"/>
    <x v="334"/>
    <x v="11"/>
    <d v="2020-02-23T00:00:00"/>
    <x v="0"/>
    <n v="38980"/>
    <x v="0"/>
  </r>
  <r>
    <n v="15484"/>
    <s v="Natalie"/>
    <s v="Reid"/>
    <s v="India "/>
    <x v="1"/>
    <x v="1"/>
    <s v="60 50 01"/>
    <s v="natalie.reid@gmail.com"/>
    <x v="0"/>
    <x v="335"/>
    <x v="12"/>
    <d v="2020-03-28T00:00:00"/>
    <x v="5"/>
    <n v="66989"/>
    <x v="0"/>
  </r>
  <r>
    <n v="18138"/>
    <s v="Julia"/>
    <s v="Watson"/>
    <s v="India "/>
    <x v="0"/>
    <x v="0"/>
    <s v="81 31 08"/>
    <s v="julia.watson@gmail.com"/>
    <x v="1"/>
    <x v="336"/>
    <x v="13"/>
    <d v="2020-01-22T00:00:00"/>
    <x v="8"/>
    <n v="34690"/>
    <x v="0"/>
  </r>
  <r>
    <n v="15465"/>
    <s v="Hannah"/>
    <s v="Burgess"/>
    <s v="India "/>
    <x v="2"/>
    <x v="2"/>
    <s v="38 84 21"/>
    <s v="hannah.burgess@gmail.com"/>
    <x v="3"/>
    <x v="337"/>
    <x v="14"/>
    <d v="2020-03-19T00:00:00"/>
    <x v="8"/>
    <n v="36990"/>
    <x v="0"/>
  </r>
  <r>
    <n v="15225"/>
    <s v="Alan"/>
    <s v="Johnston"/>
    <s v="India "/>
    <x v="2"/>
    <x v="2"/>
    <s v="38 84 21"/>
    <s v="alan.johnston@gmail.com"/>
    <x v="0"/>
    <x v="338"/>
    <x v="15"/>
    <d v="2020-06-17T00:00:00"/>
    <x v="9"/>
    <n v="66989"/>
    <x v="0"/>
  </r>
  <r>
    <n v="23386"/>
    <s v="Una"/>
    <s v="Short"/>
    <s v="India "/>
    <x v="3"/>
    <x v="3"/>
    <s v="11 00 07"/>
    <s v="una.short@gmail.com"/>
    <x v="4"/>
    <x v="339"/>
    <x v="15"/>
    <d v="2020-06-16T00:00:00"/>
    <x v="2"/>
    <n v="38980"/>
    <x v="0"/>
  </r>
  <r>
    <n v="19933"/>
    <s v="Jennifer"/>
    <s v="Kelly"/>
    <s v="India "/>
    <x v="0"/>
    <x v="0"/>
    <s v="81 31 08"/>
    <s v="jennifer.kelly@gmail.com"/>
    <x v="2"/>
    <x v="121"/>
    <x v="16"/>
    <d v="2020-05-11T00:00:00"/>
    <x v="9"/>
    <n v="57999"/>
    <x v="0"/>
  </r>
  <r>
    <n v="14983"/>
    <s v="Jack"/>
    <s v="May"/>
    <s v="India "/>
    <x v="3"/>
    <x v="3"/>
    <s v="11 00 07"/>
    <s v="jack.may@gmail.com"/>
    <x v="3"/>
    <x v="113"/>
    <x v="17"/>
    <d v="2020-03-10T00:00:00"/>
    <x v="3"/>
    <n v="36990"/>
    <x v="0"/>
  </r>
  <r>
    <n v="25457"/>
    <s v="Alexander"/>
    <s v="Blake"/>
    <s v="India "/>
    <x v="0"/>
    <x v="0"/>
    <s v="81 31 08"/>
    <s v="alexander.blake@gmail.com"/>
    <x v="4"/>
    <x v="211"/>
    <x v="9"/>
    <d v="2020-01-30T00:00:00"/>
    <x v="5"/>
    <n v="38980"/>
    <x v="0"/>
  </r>
  <r>
    <n v="16186"/>
    <s v="Alexander"/>
    <s v="Davidson"/>
    <s v="India "/>
    <x v="1"/>
    <x v="1"/>
    <s v="60 50 01"/>
    <s v="alexander.davidson@gmail.com"/>
    <x v="0"/>
    <x v="340"/>
    <x v="17"/>
    <d v="2020-03-11T00:00:00"/>
    <x v="9"/>
    <n v="66989"/>
    <x v="0"/>
  </r>
  <r>
    <n v="23501"/>
    <s v="Blake"/>
    <s v="Lambert"/>
    <s v="India "/>
    <x v="0"/>
    <x v="0"/>
    <s v="81 31 08"/>
    <s v="blake.lambert@gmail.com"/>
    <x v="2"/>
    <x v="86"/>
    <x v="18"/>
    <d v="2020-04-21T00:00:00"/>
    <x v="2"/>
    <n v="57999"/>
    <x v="0"/>
  </r>
  <r>
    <n v="14470"/>
    <s v="Sophie"/>
    <s v="Burgess"/>
    <s v="India "/>
    <x v="2"/>
    <x v="2"/>
    <s v="38 84 21"/>
    <s v="sophie.burgess@gmail.com"/>
    <x v="4"/>
    <x v="341"/>
    <x v="18"/>
    <d v="2020-04-21T00:00:00"/>
    <x v="5"/>
    <n v="38980"/>
    <x v="0"/>
  </r>
  <r>
    <n v="19347"/>
    <s v="Nathan"/>
    <s v="Gibson"/>
    <s v="India "/>
    <x v="0"/>
    <x v="0"/>
    <s v="81 31 08"/>
    <s v="nathan.gibson@gmail.com"/>
    <x v="0"/>
    <x v="338"/>
    <x v="19"/>
    <d v="2020-05-11T00:00:00"/>
    <x v="6"/>
    <n v="66989"/>
    <x v="0"/>
  </r>
  <r>
    <n v="15780"/>
    <s v="Virginia"/>
    <s v="Glover"/>
    <s v="India "/>
    <x v="1"/>
    <x v="1"/>
    <s v="60 50 01"/>
    <s v="virginia.glover@gmail.com"/>
    <x v="1"/>
    <x v="342"/>
    <x v="20"/>
    <d v="2020-06-14T00:00:00"/>
    <x v="4"/>
    <n v="34690"/>
    <x v="0"/>
  </r>
  <r>
    <n v="20077"/>
    <s v="Melanie"/>
    <s v="Grant"/>
    <s v="India "/>
    <x v="0"/>
    <x v="0"/>
    <s v="81 31 08"/>
    <s v="melanie.grant@gmail.com"/>
    <x v="0"/>
    <x v="343"/>
    <x v="21"/>
    <d v="2020-03-04T00:00:00"/>
    <x v="8"/>
    <n v="66989"/>
    <x v="0"/>
  </r>
  <r>
    <n v="25261"/>
    <s v="Ella"/>
    <s v="Lewis"/>
    <s v="India "/>
    <x v="2"/>
    <x v="2"/>
    <s v="38 84 21"/>
    <s v="ella.lewis@gmail.com"/>
    <x v="1"/>
    <x v="344"/>
    <x v="21"/>
    <d v="2020-03-02T00:00:00"/>
    <x v="1"/>
    <n v="34690"/>
    <x v="0"/>
  </r>
  <r>
    <n v="16797"/>
    <s v="Anna"/>
    <s v="Reid"/>
    <s v="India "/>
    <x v="2"/>
    <x v="2"/>
    <s v="38 84 21"/>
    <s v="anna.reid@gmail.com"/>
    <x v="2"/>
    <x v="284"/>
    <x v="22"/>
    <d v="2020-01-09T00:00:00"/>
    <x v="5"/>
    <n v="57999"/>
    <x v="0"/>
  </r>
  <r>
    <n v="18707"/>
    <s v="Ryan"/>
    <s v="Burgess"/>
    <s v="India "/>
    <x v="2"/>
    <x v="2"/>
    <s v="38 84 21"/>
    <s v="ryan.burgess@gmail.com"/>
    <x v="3"/>
    <x v="294"/>
    <x v="22"/>
    <d v="2020-01-02T00:00:00"/>
    <x v="7"/>
    <n v="36990"/>
    <x v="0"/>
  </r>
  <r>
    <n v="24128"/>
    <s v="Megan"/>
    <s v="Berry"/>
    <s v="India "/>
    <x v="2"/>
    <x v="2"/>
    <s v="38 84 21"/>
    <s v="megan.berry@gmail.com"/>
    <x v="4"/>
    <x v="104"/>
    <x v="22"/>
    <d v="2020-01-04T00:00:00"/>
    <x v="4"/>
    <n v="38980"/>
    <x v="0"/>
  </r>
  <r>
    <n v="23715"/>
    <s v="Lauren"/>
    <s v="Gray"/>
    <s v="India "/>
    <x v="3"/>
    <x v="3"/>
    <s v="11 00 07"/>
    <s v="lauren.gray@gmail.com"/>
    <x v="0"/>
    <x v="345"/>
    <x v="22"/>
    <d v="2020-01-09T00:00:00"/>
    <x v="1"/>
    <n v="66989"/>
    <x v="0"/>
  </r>
  <r>
    <n v="16452"/>
    <s v="Jennifer"/>
    <s v="Gray"/>
    <s v="India "/>
    <x v="0"/>
    <x v="0"/>
    <s v="81 31 08"/>
    <s v="jennifer.gray@gmail.com"/>
    <x v="2"/>
    <x v="346"/>
    <x v="23"/>
    <d v="2020-02-04T00:00:00"/>
    <x v="8"/>
    <n v="57999"/>
    <x v="0"/>
  </r>
  <r>
    <n v="24192"/>
    <s v="Andrew"/>
    <s v="Glover"/>
    <s v="India "/>
    <x v="1"/>
    <x v="1"/>
    <s v="60 50 01"/>
    <s v="andrew.glover@gmail.com"/>
    <x v="4"/>
    <x v="347"/>
    <x v="23"/>
    <d v="2020-02-04T00:00:00"/>
    <x v="8"/>
    <n v="38980"/>
    <x v="0"/>
  </r>
  <r>
    <n v="16506"/>
    <s v="Nicola"/>
    <s v="May"/>
    <s v="India "/>
    <x v="0"/>
    <x v="0"/>
    <s v="81 31 08"/>
    <s v="nicola.may@gmail.com"/>
    <x v="0"/>
    <x v="67"/>
    <x v="24"/>
    <d v="2020-03-15T00:00:00"/>
    <x v="4"/>
    <n v="66989"/>
    <x v="0"/>
  </r>
  <r>
    <n v="14868"/>
    <s v="Carolyn"/>
    <s v="Gill"/>
    <s v="India "/>
    <x v="2"/>
    <x v="2"/>
    <s v="38 84 21"/>
    <s v="carolyn.gill@gmail.com"/>
    <x v="1"/>
    <x v="348"/>
    <x v="23"/>
    <d v="2020-02-03T00:00:00"/>
    <x v="5"/>
    <n v="34690"/>
    <x v="0"/>
  </r>
  <r>
    <n v="20874"/>
    <s v="Virginia"/>
    <s v="Wilson"/>
    <s v="India "/>
    <x v="2"/>
    <x v="2"/>
    <s v="38 84 21"/>
    <s v="virginia.wilson@gmail.com"/>
    <x v="0"/>
    <x v="349"/>
    <x v="25"/>
    <d v="2020-04-02T00:00:00"/>
    <x v="1"/>
    <n v="66989"/>
    <x v="0"/>
  </r>
  <r>
    <n v="24615"/>
    <s v="Ella"/>
    <s v="Grant"/>
    <s v="India "/>
    <x v="3"/>
    <x v="3"/>
    <s v="11 00 07"/>
    <s v="ella.grant@gmail.com"/>
    <x v="4"/>
    <x v="50"/>
    <x v="26"/>
    <d v="2020-06-08T00:00:00"/>
    <x v="1"/>
    <n v="38980"/>
    <x v="0"/>
  </r>
  <r>
    <n v="20115"/>
    <s v="Michelle"/>
    <s v="Buckland"/>
    <s v="India "/>
    <x v="0"/>
    <x v="0"/>
    <s v="81 31 08"/>
    <s v="michelle.buckland@gmail.com"/>
    <x v="2"/>
    <x v="350"/>
    <x v="27"/>
    <d v="2020-03-23T00:00:00"/>
    <x v="2"/>
    <n v="57999"/>
    <x v="0"/>
  </r>
  <r>
    <n v="15316"/>
    <s v="Audrey"/>
    <s v="Ogden"/>
    <s v="India "/>
    <x v="1"/>
    <x v="1"/>
    <s v="60 50 01"/>
    <s v="audrey.ogden@gmail.com"/>
    <x v="3"/>
    <x v="351"/>
    <x v="27"/>
    <d v="2020-03-25T00:00:00"/>
    <x v="6"/>
    <n v="36990"/>
    <x v="0"/>
  </r>
  <r>
    <n v="12594"/>
    <s v="Vanessa"/>
    <s v="Sharp"/>
    <s v="India "/>
    <x v="0"/>
    <x v="0"/>
    <s v="81 31 08"/>
    <s v="vanessa.sharp@gmail.com"/>
    <x v="4"/>
    <x v="53"/>
    <x v="28"/>
    <d v="2020-05-18T00:00:00"/>
    <x v="0"/>
    <n v="38980"/>
    <x v="0"/>
  </r>
  <r>
    <n v="22191"/>
    <s v="Simon"/>
    <s v="Buckland"/>
    <s v="India "/>
    <x v="2"/>
    <x v="2"/>
    <s v="38 84 21"/>
    <s v="simon.buckland@gmail.com"/>
    <x v="0"/>
    <x v="352"/>
    <x v="29"/>
    <d v="2020-02-20T00:00:00"/>
    <x v="2"/>
    <n v="66989"/>
    <x v="0"/>
  </r>
  <r>
    <n v="18783"/>
    <s v="Sarah"/>
    <s v="Welch"/>
    <s v="India "/>
    <x v="2"/>
    <x v="2"/>
    <s v="38 84 21"/>
    <s v="sarah.welch@gmail.com"/>
    <x v="2"/>
    <x v="353"/>
    <x v="30"/>
    <d v="2020-03-06T00:00:00"/>
    <x v="7"/>
    <n v="57999"/>
    <x v="0"/>
  </r>
  <r>
    <n v="15771"/>
    <s v="Rachel"/>
    <s v="Stewart"/>
    <s v="India "/>
    <x v="2"/>
    <x v="2"/>
    <s v="38 84 21"/>
    <s v="rachel.stewart@gmail.com"/>
    <x v="4"/>
    <x v="212"/>
    <x v="28"/>
    <d v="2020-05-19T00:00:00"/>
    <x v="8"/>
    <n v="38980"/>
    <x v="0"/>
  </r>
  <r>
    <n v="18694"/>
    <s v="Ella"/>
    <s v="Oliver"/>
    <s v="India "/>
    <x v="3"/>
    <x v="3"/>
    <s v="11 00 07"/>
    <s v="ella.oliver@gmail.com"/>
    <x v="0"/>
    <x v="6"/>
    <x v="28"/>
    <d v="2020-05-18T00:00:00"/>
    <x v="1"/>
    <n v="66989"/>
    <x v="0"/>
  </r>
  <r>
    <n v="23346"/>
    <s v="Harry"/>
    <s v="Vaughan"/>
    <s v="India "/>
    <x v="2"/>
    <x v="2"/>
    <s v="38 84 21"/>
    <s v="harry.vaughan@gmail.com"/>
    <x v="1"/>
    <x v="354"/>
    <x v="31"/>
    <d v="2020-06-09T00:00:00"/>
    <x v="4"/>
    <n v="34690"/>
    <x v="0"/>
  </r>
  <r>
    <n v="24570"/>
    <s v="James"/>
    <s v="Oliver"/>
    <s v="India "/>
    <x v="2"/>
    <x v="2"/>
    <s v="38 84 21"/>
    <s v="james.oliver@gmail.com"/>
    <x v="0"/>
    <x v="136"/>
    <x v="32"/>
    <d v="2020-05-05T00:00:00"/>
    <x v="2"/>
    <n v="66989"/>
    <x v="0"/>
  </r>
  <r>
    <n v="17715"/>
    <s v="Ava"/>
    <s v="Langdon"/>
    <s v="India "/>
    <x v="3"/>
    <x v="3"/>
    <s v="11 00 07"/>
    <s v="ava.langdon@gmail.com"/>
    <x v="1"/>
    <x v="135"/>
    <x v="32"/>
    <d v="2020-05-05T00:00:00"/>
    <x v="3"/>
    <n v="34690"/>
    <x v="0"/>
  </r>
  <r>
    <n v="21122"/>
    <s v="Diane"/>
    <s v="Randall"/>
    <s v="India "/>
    <x v="3"/>
    <x v="3"/>
    <s v="11 00 07"/>
    <s v="diane.randall@gmail.com"/>
    <x v="2"/>
    <x v="255"/>
    <x v="32"/>
    <d v="2020-05-05T00:00:00"/>
    <x v="2"/>
    <n v="57999"/>
    <x v="0"/>
  </r>
  <r>
    <n v="12745"/>
    <s v="Richard"/>
    <s v="North"/>
    <s v="India "/>
    <x v="0"/>
    <x v="0"/>
    <s v="81 31 08"/>
    <s v="richard.north@gmail.com"/>
    <x v="3"/>
    <x v="2"/>
    <x v="32"/>
    <d v="2020-05-04T00:00:00"/>
    <x v="8"/>
    <n v="36990"/>
    <x v="0"/>
  </r>
  <r>
    <n v="19593"/>
    <s v="Elizabeth"/>
    <s v="Roberts"/>
    <s v="India "/>
    <x v="1"/>
    <x v="1"/>
    <s v="60 50 01"/>
    <s v="elizabeth.roberts@gmail.com"/>
    <x v="4"/>
    <x v="355"/>
    <x v="33"/>
    <d v="2020-06-24T00:00:00"/>
    <x v="0"/>
    <n v="38980"/>
    <x v="0"/>
  </r>
  <r>
    <n v="15938"/>
    <s v="Luke"/>
    <s v="Langdon"/>
    <s v="India "/>
    <x v="0"/>
    <x v="0"/>
    <s v="81 31 08"/>
    <s v="luke.langdon@gmail.com"/>
    <x v="0"/>
    <x v="356"/>
    <x v="34"/>
    <d v="2020-04-07T00:00:00"/>
    <x v="8"/>
    <n v="66989"/>
    <x v="0"/>
  </r>
  <r>
    <n v="17289"/>
    <s v="Cameron"/>
    <s v="Piper"/>
    <s v="India "/>
    <x v="2"/>
    <x v="2"/>
    <s v="38 84 21"/>
    <s v="cameron.piper@gmail.com"/>
    <x v="2"/>
    <x v="301"/>
    <x v="33"/>
    <d v="2020-06-24T00:00:00"/>
    <x v="2"/>
    <n v="57999"/>
    <x v="0"/>
  </r>
  <r>
    <n v="24546"/>
    <s v="Andrew"/>
    <s v="Lawrence"/>
    <s v="India "/>
    <x v="2"/>
    <x v="2"/>
    <s v="38 84 21"/>
    <s v="andrew.lawrence@gmail.com"/>
    <x v="4"/>
    <x v="261"/>
    <x v="33"/>
    <d v="2020-06-23T00:00:00"/>
    <x v="5"/>
    <n v="38980"/>
    <x v="0"/>
  </r>
  <r>
    <n v="14391"/>
    <s v="Sebastian"/>
    <s v="Paige"/>
    <s v="India "/>
    <x v="3"/>
    <x v="3"/>
    <s v="11 00 07"/>
    <s v="sebastian.paige@gmail.com"/>
    <x v="0"/>
    <x v="108"/>
    <x v="34"/>
    <d v="2020-04-07T00:00:00"/>
    <x v="0"/>
    <n v="66989"/>
    <x v="0"/>
  </r>
  <r>
    <n v="23607"/>
    <s v="Nicola"/>
    <s v="Harris"/>
    <s v="India "/>
    <x v="0"/>
    <x v="0"/>
    <s v="81 31 08"/>
    <s v="nicola.harris@gmail.com"/>
    <x v="1"/>
    <x v="307"/>
    <x v="33"/>
    <d v="2020-06-23T00:00:00"/>
    <x v="3"/>
    <n v="34690"/>
    <x v="0"/>
  </r>
  <r>
    <n v="14489"/>
    <s v="Tracey"/>
    <s v="McLean"/>
    <s v="India "/>
    <x v="2"/>
    <x v="2"/>
    <s v="38 84 21"/>
    <s v="tracey.mclean@gmail.com"/>
    <x v="3"/>
    <x v="320"/>
    <x v="35"/>
    <d v="2020-01-04T00:00:00"/>
    <x v="4"/>
    <n v="36990"/>
    <x v="0"/>
  </r>
  <r>
    <n v="25070"/>
    <s v="Gabrielle"/>
    <s v="Randall"/>
    <s v="India "/>
    <x v="3"/>
    <x v="3"/>
    <s v="11 00 07"/>
    <s v="gabrielle.randall@gmail.com"/>
    <x v="0"/>
    <x v="357"/>
    <x v="36"/>
    <d v="2020-04-06T00:00:00"/>
    <x v="7"/>
    <n v="66989"/>
    <x v="0"/>
  </r>
  <r>
    <n v="20846"/>
    <s v="Ava"/>
    <s v="Buckland"/>
    <s v="India "/>
    <x v="0"/>
    <x v="0"/>
    <s v="81 31 08"/>
    <s v="ava.buckland@gmail.com"/>
    <x v="4"/>
    <x v="146"/>
    <x v="36"/>
    <d v="2020-04-06T00:00:00"/>
    <x v="8"/>
    <n v="38980"/>
    <x v="0"/>
  </r>
  <r>
    <n v="15241"/>
    <s v="Audrey"/>
    <s v="Murray"/>
    <s v="India "/>
    <x v="3"/>
    <x v="3"/>
    <s v="11 00 07"/>
    <s v="audrey.murray@gmail.com"/>
    <x v="2"/>
    <x v="37"/>
    <x v="37"/>
    <d v="2020-04-11T00:00:00"/>
    <x v="0"/>
    <n v="57999"/>
    <x v="0"/>
  </r>
  <r>
    <n v="21808"/>
    <s v="Lucas"/>
    <s v="Metcalfe"/>
    <s v="India "/>
    <x v="0"/>
    <x v="0"/>
    <s v="81 31 08"/>
    <s v="lucas.metcalfe@gmail.com"/>
    <x v="3"/>
    <x v="174"/>
    <x v="35"/>
    <d v="2020-01-04T00:00:00"/>
    <x v="5"/>
    <n v="36990"/>
    <x v="0"/>
  </r>
  <r>
    <n v="20033"/>
    <s v="Jacob"/>
    <s v="Rutherford"/>
    <s v="India "/>
    <x v="1"/>
    <x v="1"/>
    <s v="60 50 01"/>
    <s v="jacob.rutherford@gmail.com"/>
    <x v="4"/>
    <x v="358"/>
    <x v="36"/>
    <d v="2020-04-06T00:00:00"/>
    <x v="3"/>
    <n v="38980"/>
    <x v="0"/>
  </r>
  <r>
    <n v="23471"/>
    <s v="Emily"/>
    <s v="Skinner"/>
    <s v="India "/>
    <x v="0"/>
    <x v="0"/>
    <s v="81 31 08"/>
    <s v="emily.skinner@gmail.com"/>
    <x v="0"/>
    <x v="209"/>
    <x v="3"/>
    <d v="2020-05-14T00:00:00"/>
    <x v="0"/>
    <n v="66989"/>
    <x v="0"/>
  </r>
  <r>
    <n v="20377"/>
    <s v="Heather"/>
    <s v="Dyer"/>
    <s v="India "/>
    <x v="2"/>
    <x v="2"/>
    <s v="38 84 21"/>
    <s v="heather.dyer@gmail.com"/>
    <x v="2"/>
    <x v="359"/>
    <x v="3"/>
    <d v="2020-05-13T00:00:00"/>
    <x v="4"/>
    <n v="57999"/>
    <x v="0"/>
  </r>
  <r>
    <n v="24401"/>
    <s v="James"/>
    <s v="Parr"/>
    <s v="India "/>
    <x v="0"/>
    <x v="0"/>
    <s v="81 31 08"/>
    <s v="james.parr@gmail.com"/>
    <x v="4"/>
    <x v="360"/>
    <x v="3"/>
    <d v="2020-05-13T00:00:00"/>
    <x v="7"/>
    <n v="38980"/>
    <x v="0"/>
  </r>
  <r>
    <n v="15249"/>
    <s v="Jennifer"/>
    <s v="Ross"/>
    <s v="India "/>
    <x v="1"/>
    <x v="1"/>
    <s v="60 50 01"/>
    <s v="jennifer.ross@gmail.com"/>
    <x v="0"/>
    <x v="361"/>
    <x v="3"/>
    <d v="2020-05-13T00:00:00"/>
    <x v="4"/>
    <n v="66989"/>
    <x v="0"/>
  </r>
  <r>
    <n v="24708"/>
    <s v="Austin"/>
    <s v="Burgess"/>
    <s v="India "/>
    <x v="0"/>
    <x v="0"/>
    <s v="81 31 08"/>
    <s v="austin.burgess@gmail.com"/>
    <x v="1"/>
    <x v="231"/>
    <x v="4"/>
    <d v="2020-04-09T00:00:00"/>
    <x v="9"/>
    <n v="34690"/>
    <x v="0"/>
  </r>
  <r>
    <n v="21443"/>
    <s v="Molly"/>
    <s v="Bond"/>
    <s v="India "/>
    <x v="2"/>
    <x v="2"/>
    <s v="38 84 21"/>
    <s v="molly.bond@gmail.com"/>
    <x v="2"/>
    <x v="362"/>
    <x v="5"/>
    <d v="2020-05-28T00:00:00"/>
    <x v="0"/>
    <n v="57999"/>
    <x v="0"/>
  </r>
  <r>
    <n v="25376"/>
    <s v="Grace"/>
    <s v="Ferguson"/>
    <s v="India "/>
    <x v="2"/>
    <x v="2"/>
    <s v="38 84 21"/>
    <s v="grace.ferguson@gmail.com"/>
    <x v="3"/>
    <x v="295"/>
    <x v="6"/>
    <d v="2020-02-15T00:00:00"/>
    <x v="9"/>
    <n v="36990"/>
    <x v="0"/>
  </r>
  <r>
    <n v="21124"/>
    <s v="Julian"/>
    <s v="Sharp"/>
    <s v="India "/>
    <x v="2"/>
    <x v="2"/>
    <s v="38 84 21"/>
    <s v="julian.sharp@gmail.com"/>
    <x v="4"/>
    <x v="238"/>
    <x v="6"/>
    <d v="2020-02-14T00:00:00"/>
    <x v="6"/>
    <n v="38980"/>
    <x v="0"/>
  </r>
  <r>
    <n v="12786"/>
    <s v="Andrew"/>
    <s v="Morgan"/>
    <s v="India "/>
    <x v="2"/>
    <x v="2"/>
    <s v="38 84 21"/>
    <s v="andrew.morgan@gmail.com"/>
    <x v="0"/>
    <x v="166"/>
    <x v="7"/>
    <d v="2020-05-16T00:00:00"/>
    <x v="3"/>
    <n v="66989"/>
    <x v="0"/>
  </r>
  <r>
    <n v="22486"/>
    <s v="Sebastian"/>
    <s v="Fraser"/>
    <s v="India "/>
    <x v="3"/>
    <x v="3"/>
    <s v="11 00 07"/>
    <s v="sebastian.fraser@gmail.com"/>
    <x v="2"/>
    <x v="363"/>
    <x v="8"/>
    <d v="2020-05-23T00:00:00"/>
    <x v="2"/>
    <n v="57999"/>
    <x v="0"/>
  </r>
  <r>
    <n v="19250"/>
    <s v="Matt"/>
    <s v="Hunter"/>
    <s v="India "/>
    <x v="0"/>
    <x v="0"/>
    <s v="81 31 08"/>
    <s v="matt.hunter@gmail.com"/>
    <x v="3"/>
    <x v="364"/>
    <x v="7"/>
    <d v="2020-05-16T00:00:00"/>
    <x v="1"/>
    <n v="36990"/>
    <x v="0"/>
  </r>
  <r>
    <n v="24975"/>
    <s v="Claire"/>
    <s v="Manning"/>
    <s v="India "/>
    <x v="1"/>
    <x v="1"/>
    <s v="60 50 01"/>
    <s v="claire.manning@gmail.com"/>
    <x v="4"/>
    <x v="313"/>
    <x v="8"/>
    <d v="2020-05-22T00:00:00"/>
    <x v="1"/>
    <n v="38980"/>
    <x v="0"/>
  </r>
  <r>
    <n v="15080"/>
    <s v="Gavin"/>
    <s v="Langdon"/>
    <s v="India "/>
    <x v="0"/>
    <x v="0"/>
    <s v="81 31 08"/>
    <s v="gavin.langdon@gmail.com"/>
    <x v="0"/>
    <x v="365"/>
    <x v="8"/>
    <d v="2020-05-23T00:00:00"/>
    <x v="5"/>
    <n v="66989"/>
    <x v="0"/>
  </r>
  <r>
    <n v="18178"/>
    <s v="Zoe"/>
    <s v="Smith"/>
    <s v="India "/>
    <x v="2"/>
    <x v="2"/>
    <s v="38 84 21"/>
    <s v="zoe.smith@gmail.com"/>
    <x v="2"/>
    <x v="366"/>
    <x v="9"/>
    <d v="2020-01-29T00:00:00"/>
    <x v="3"/>
    <n v="57999"/>
    <x v="0"/>
  </r>
  <r>
    <n v="18547"/>
    <s v="Michael"/>
    <s v="Henderson"/>
    <s v="India "/>
    <x v="2"/>
    <x v="2"/>
    <s v="38 84 21"/>
    <s v="michael.henderson@gmail.com"/>
    <x v="4"/>
    <x v="367"/>
    <x v="9"/>
    <d v="2020-01-30T00:00:00"/>
    <x v="7"/>
    <n v="38980"/>
    <x v="0"/>
  </r>
  <r>
    <n v="20507"/>
    <s v="David"/>
    <s v="Reid"/>
    <s v="India "/>
    <x v="3"/>
    <x v="3"/>
    <s v="11 00 07"/>
    <s v="david.reid@gmail.com"/>
    <x v="0"/>
    <x v="368"/>
    <x v="10"/>
    <d v="2020-05-04T00:00:00"/>
    <x v="3"/>
    <n v="66989"/>
    <x v="0"/>
  </r>
  <r>
    <n v="13732"/>
    <s v="Phil"/>
    <s v="Blake"/>
    <s v="India "/>
    <x v="0"/>
    <x v="0"/>
    <s v="81 31 08"/>
    <s v="phil.blake@gmail.com"/>
    <x v="1"/>
    <x v="369"/>
    <x v="11"/>
    <d v="2020-02-23T00:00:00"/>
    <x v="9"/>
    <n v="34690"/>
    <x v="0"/>
  </r>
  <r>
    <n v="15312"/>
    <s v="Liam"/>
    <s v="Terry"/>
    <s v="India "/>
    <x v="1"/>
    <x v="1"/>
    <s v="60 50 01"/>
    <s v="liam.terry@gmail.com"/>
    <x v="3"/>
    <x v="183"/>
    <x v="12"/>
    <d v="2020-03-28T00:00:00"/>
    <x v="7"/>
    <n v="36990"/>
    <x v="0"/>
  </r>
  <r>
    <n v="17958"/>
    <s v="Joshua"/>
    <s v="Bailey"/>
    <s v="India "/>
    <x v="0"/>
    <x v="0"/>
    <s v="81 31 08"/>
    <s v="joshua.bailey@gmail.com"/>
    <x v="0"/>
    <x v="370"/>
    <x v="13"/>
    <d v="2020-01-22T00:00:00"/>
    <x v="6"/>
    <n v="66989"/>
    <x v="0"/>
  </r>
  <r>
    <n v="16972"/>
    <s v="Harry"/>
    <s v="King"/>
    <s v="India "/>
    <x v="2"/>
    <x v="2"/>
    <s v="38 84 21"/>
    <s v="harry.king@gmail.com"/>
    <x v="4"/>
    <x v="371"/>
    <x v="14"/>
    <d v="2020-03-19T00:00:00"/>
    <x v="3"/>
    <n v="38980"/>
    <x v="0"/>
  </r>
  <r>
    <n v="20784"/>
    <s v="Joe"/>
    <s v="Dickens"/>
    <s v="India "/>
    <x v="2"/>
    <x v="2"/>
    <s v="38 84 21"/>
    <s v="joe.dickens@gmail.com"/>
    <x v="2"/>
    <x v="372"/>
    <x v="15"/>
    <d v="2020-06-17T00:00:00"/>
    <x v="2"/>
    <n v="57999"/>
    <x v="0"/>
  </r>
  <r>
    <n v="15385"/>
    <s v="Vanessa"/>
    <s v="Murray"/>
    <s v="India "/>
    <x v="2"/>
    <x v="2"/>
    <s v="38 84 21"/>
    <s v="vanessa.murray@gmail.com"/>
    <x v="3"/>
    <x v="373"/>
    <x v="15"/>
    <d v="2020-06-16T00:00:00"/>
    <x v="1"/>
    <n v="36990"/>
    <x v="0"/>
  </r>
  <r>
    <n v="16834"/>
    <s v="Leonard"/>
    <s v="Knox"/>
    <s v="India "/>
    <x v="2"/>
    <x v="2"/>
    <s v="38 84 21"/>
    <s v="leonard.knox@gmail.com"/>
    <x v="4"/>
    <x v="13"/>
    <x v="16"/>
    <d v="2020-05-11T00:00:00"/>
    <x v="6"/>
    <n v="38980"/>
    <x v="0"/>
  </r>
  <r>
    <n v="17365"/>
    <s v="Boris"/>
    <s v="Skinner"/>
    <s v="India "/>
    <x v="3"/>
    <x v="3"/>
    <s v="11 00 07"/>
    <s v="boris.skinner@gmail.com"/>
    <x v="0"/>
    <x v="327"/>
    <x v="17"/>
    <d v="2020-03-10T00:00:00"/>
    <x v="3"/>
    <n v="66989"/>
    <x v="0"/>
  </r>
  <r>
    <n v="15300"/>
    <s v="Brian"/>
    <s v="Rampling"/>
    <s v="India "/>
    <x v="0"/>
    <x v="0"/>
    <s v="81 31 08"/>
    <s v="brian.rampling@gmail.com"/>
    <x v="2"/>
    <x v="374"/>
    <x v="9"/>
    <d v="2020-01-30T00:00:00"/>
    <x v="3"/>
    <n v="57999"/>
    <x v="0"/>
  </r>
  <r>
    <n v="23891"/>
    <s v="Angela"/>
    <s v="Berry"/>
    <s v="India "/>
    <x v="1"/>
    <x v="1"/>
    <s v="60 50 01"/>
    <s v="angela.berry@gmail.com"/>
    <x v="4"/>
    <x v="218"/>
    <x v="17"/>
    <d v="2020-03-11T00:00:00"/>
    <x v="2"/>
    <n v="38980"/>
    <x v="0"/>
  </r>
  <r>
    <n v="19125"/>
    <s v="Steven"/>
    <s v="Dyer"/>
    <s v="India "/>
    <x v="0"/>
    <x v="0"/>
    <s v="81 31 08"/>
    <s v="steven.dyer@gmail.com"/>
    <x v="0"/>
    <x v="375"/>
    <x v="18"/>
    <d v="2020-04-21T00:00:00"/>
    <x v="0"/>
    <n v="66989"/>
    <x v="0"/>
  </r>
  <r>
    <n v="22388"/>
    <s v="Nicholas"/>
    <s v="Brown"/>
    <s v="India "/>
    <x v="2"/>
    <x v="2"/>
    <s v="38 84 21"/>
    <s v="nicholas.brown@gmail.com"/>
    <x v="1"/>
    <x v="102"/>
    <x v="18"/>
    <d v="2020-04-21T00:00:00"/>
    <x v="2"/>
    <n v="34690"/>
    <x v="0"/>
  </r>
  <r>
    <n v="24287"/>
    <s v="Lisa"/>
    <s v="Ellison"/>
    <s v="India "/>
    <x v="2"/>
    <x v="2"/>
    <s v="38 84 21"/>
    <s v="lisa.ellison@gmail.com"/>
    <x v="2"/>
    <x v="37"/>
    <x v="19"/>
    <d v="2020-05-11T00:00:00"/>
    <x v="7"/>
    <n v="57999"/>
    <x v="0"/>
  </r>
  <r>
    <n v="16620"/>
    <s v="Edward"/>
    <s v="May"/>
    <s v="India "/>
    <x v="2"/>
    <x v="2"/>
    <s v="38 84 21"/>
    <s v="edward.may@gmail.com"/>
    <x v="3"/>
    <x v="135"/>
    <x v="20"/>
    <d v="2020-06-14T00:00:00"/>
    <x v="1"/>
    <n v="36990"/>
    <x v="0"/>
  </r>
  <r>
    <n v="16417"/>
    <s v="Justin"/>
    <s v="Newman"/>
    <s v="India "/>
    <x v="3"/>
    <x v="3"/>
    <s v="11 00 07"/>
    <s v="justin.newman@gmail.com"/>
    <x v="4"/>
    <x v="333"/>
    <x v="21"/>
    <d v="2020-03-04T00:00:00"/>
    <x v="7"/>
    <n v="38980"/>
    <x v="0"/>
  </r>
  <r>
    <n v="18409"/>
    <s v="Harry"/>
    <s v="Ball"/>
    <s v="India "/>
    <x v="2"/>
    <x v="2"/>
    <s v="38 84 21"/>
    <s v="harry.ball@gmail.com"/>
    <x v="0"/>
    <x v="62"/>
    <x v="21"/>
    <d v="2020-03-02T00:00:00"/>
    <x v="5"/>
    <n v="66989"/>
    <x v="0"/>
  </r>
  <r>
    <n v="25262"/>
    <s v="Joseph"/>
    <s v="Walsh"/>
    <s v="India "/>
    <x v="2"/>
    <x v="2"/>
    <s v="38 84 21"/>
    <s v="joseph.walsh@gmail.com"/>
    <x v="2"/>
    <x v="376"/>
    <x v="22"/>
    <d v="2020-01-09T00:00:00"/>
    <x v="6"/>
    <n v="57999"/>
    <x v="0"/>
  </r>
  <r>
    <n v="16594"/>
    <s v="Faith"/>
    <s v="Marshall"/>
    <s v="India "/>
    <x v="3"/>
    <x v="3"/>
    <s v="11 00 07"/>
    <s v="faith.marshall@gmail.com"/>
    <x v="4"/>
    <x v="377"/>
    <x v="22"/>
    <d v="2020-01-02T00:00:00"/>
    <x v="6"/>
    <n v="38980"/>
    <x v="0"/>
  </r>
  <r>
    <n v="12739"/>
    <s v="Grace"/>
    <s v="Ross"/>
    <s v="India "/>
    <x v="3"/>
    <x v="3"/>
    <s v="11 00 07"/>
    <s v="grace.ross@gmail.com"/>
    <x v="0"/>
    <x v="378"/>
    <x v="22"/>
    <d v="2020-01-04T00:00:00"/>
    <x v="4"/>
    <n v="66989"/>
    <x v="0"/>
  </r>
  <r>
    <n v="23291"/>
    <s v="Diana"/>
    <s v="MacDonald"/>
    <s v="India "/>
    <x v="0"/>
    <x v="0"/>
    <s v="81 31 08"/>
    <s v="diana.macdonald@gmail.com"/>
    <x v="1"/>
    <x v="379"/>
    <x v="22"/>
    <d v="2020-01-09T00:00:00"/>
    <x v="5"/>
    <n v="34690"/>
    <x v="0"/>
  </r>
  <r>
    <n v="24653"/>
    <s v="Alexander"/>
    <s v="Randall"/>
    <s v="India "/>
    <x v="1"/>
    <x v="1"/>
    <s v="60 50 01"/>
    <s v="alexander.randall@gmail.com"/>
    <x v="3"/>
    <x v="256"/>
    <x v="23"/>
    <d v="2020-02-04T00:00:00"/>
    <x v="3"/>
    <n v="36990"/>
    <x v="0"/>
  </r>
  <r>
    <n v="17921"/>
    <s v="Evan"/>
    <s v="Chapman"/>
    <s v="India "/>
    <x v="0"/>
    <x v="0"/>
    <s v="81 31 08"/>
    <s v="evan.chapman@gmail.com"/>
    <x v="0"/>
    <x v="220"/>
    <x v="23"/>
    <d v="2020-02-04T00:00:00"/>
    <x v="2"/>
    <n v="66989"/>
    <x v="0"/>
  </r>
  <r>
    <n v="21448"/>
    <s v="Abigail"/>
    <s v="Hart"/>
    <s v="India "/>
    <x v="2"/>
    <x v="2"/>
    <s v="38 84 21"/>
    <s v="abigail.hart@gmail.com"/>
    <x v="4"/>
    <x v="380"/>
    <x v="24"/>
    <d v="2020-03-15T00:00:00"/>
    <x v="9"/>
    <n v="38980"/>
    <x v="0"/>
  </r>
  <r>
    <n v="25059"/>
    <s v="Ava"/>
    <s v="Paige"/>
    <s v="India "/>
    <x v="2"/>
    <x v="2"/>
    <s v="38 84 21"/>
    <s v="ava.paige@gmail.com"/>
    <x v="2"/>
    <x v="381"/>
    <x v="23"/>
    <d v="2020-02-03T00:00:00"/>
    <x v="1"/>
    <n v="57999"/>
    <x v="0"/>
  </r>
  <r>
    <n v="22391"/>
    <s v="Michael"/>
    <s v="Edmunds"/>
    <s v="India "/>
    <x v="3"/>
    <x v="3"/>
    <s v="11 00 07"/>
    <s v="michael.edmunds@gmail.com"/>
    <x v="3"/>
    <x v="382"/>
    <x v="25"/>
    <d v="2020-04-02T00:00:00"/>
    <x v="1"/>
    <n v="36990"/>
    <x v="0"/>
  </r>
  <r>
    <n v="16185"/>
    <s v="Neil"/>
    <s v="Gibson"/>
    <s v="India "/>
    <x v="0"/>
    <x v="0"/>
    <s v="81 31 08"/>
    <s v="neil.gibson@gmail.com"/>
    <x v="4"/>
    <x v="383"/>
    <x v="26"/>
    <d v="2020-06-08T00:00:00"/>
    <x v="0"/>
    <n v="38980"/>
    <x v="0"/>
  </r>
  <r>
    <n v="14415"/>
    <s v="Grace"/>
    <s v="Henderson"/>
    <s v="India "/>
    <x v="1"/>
    <x v="1"/>
    <s v="60 50 01"/>
    <s v="grace.henderson@gmail.com"/>
    <x v="0"/>
    <x v="384"/>
    <x v="27"/>
    <d v="2020-03-23T00:00:00"/>
    <x v="9"/>
    <n v="66989"/>
    <x v="0"/>
  </r>
  <r>
    <n v="24735"/>
    <s v="Gavin"/>
    <s v="Peake"/>
    <s v="India "/>
    <x v="0"/>
    <x v="0"/>
    <s v="81 31 08"/>
    <s v="gavin.peake@gmail.com"/>
    <x v="2"/>
    <x v="385"/>
    <x v="27"/>
    <d v="2020-03-25T00:00:00"/>
    <x v="7"/>
    <n v="57999"/>
    <x v="0"/>
  </r>
  <r>
    <n v="17783"/>
    <s v="Rose"/>
    <s v="MacLeod"/>
    <s v="India "/>
    <x v="2"/>
    <x v="2"/>
    <s v="38 84 21"/>
    <s v="rose.macleod@gmail.com"/>
    <x v="4"/>
    <x v="32"/>
    <x v="28"/>
    <d v="2020-05-18T00:00:00"/>
    <x v="4"/>
    <n v="38980"/>
    <x v="0"/>
  </r>
  <r>
    <n v="24194"/>
    <s v="Irene"/>
    <s v="Alsop"/>
    <s v="India "/>
    <x v="2"/>
    <x v="2"/>
    <s v="38 84 21"/>
    <s v="irene.alsop@gmail.com"/>
    <x v="0"/>
    <x v="199"/>
    <x v="29"/>
    <d v="2020-02-20T00:00:00"/>
    <x v="1"/>
    <n v="66989"/>
    <x v="0"/>
  </r>
  <r>
    <n v="13714"/>
    <s v="Elizabeth"/>
    <s v="Wright"/>
    <s v="India "/>
    <x v="3"/>
    <x v="3"/>
    <s v="11 00 07"/>
    <s v="elizabeth.wright@gmail.com"/>
    <x v="1"/>
    <x v="96"/>
    <x v="30"/>
    <d v="2020-03-06T00:00:00"/>
    <x v="2"/>
    <n v="34690"/>
    <x v="0"/>
  </r>
  <r>
    <n v="13372"/>
    <s v="Nicola"/>
    <s v="Paterson"/>
    <s v="India "/>
    <x v="0"/>
    <x v="0"/>
    <s v="81 31 08"/>
    <s v="nicola.paterson@gmail.com"/>
    <x v="0"/>
    <x v="386"/>
    <x v="28"/>
    <d v="2020-05-19T00:00:00"/>
    <x v="5"/>
    <n v="66989"/>
    <x v="0"/>
  </r>
  <r>
    <n v="22885"/>
    <s v="Katherine"/>
    <s v="Scott"/>
    <s v="India "/>
    <x v="3"/>
    <x v="3"/>
    <s v="11 00 07"/>
    <s v="katherine.scott@gmail.com"/>
    <x v="1"/>
    <x v="227"/>
    <x v="28"/>
    <d v="2020-05-18T00:00:00"/>
    <x v="9"/>
    <n v="34690"/>
    <x v="0"/>
  </r>
  <r>
    <n v="20216"/>
    <s v="Gordon"/>
    <s v="Ince"/>
    <s v="India "/>
    <x v="0"/>
    <x v="0"/>
    <s v="81 31 08"/>
    <s v="gordon.ince@gmail.com"/>
    <x v="2"/>
    <x v="387"/>
    <x v="31"/>
    <d v="2020-06-09T00:00:00"/>
    <x v="4"/>
    <n v="57999"/>
    <x v="0"/>
  </r>
  <r>
    <n v="21869"/>
    <s v="Frank"/>
    <s v="Young"/>
    <s v="India "/>
    <x v="1"/>
    <x v="1"/>
    <s v="60 50 01"/>
    <s v="frank.young@gmail.com"/>
    <x v="3"/>
    <x v="388"/>
    <x v="32"/>
    <d v="2020-05-05T00:00:00"/>
    <x v="8"/>
    <n v="36990"/>
    <x v="0"/>
  </r>
  <r>
    <n v="13383"/>
    <s v="Ian"/>
    <s v="Morrison"/>
    <s v="India "/>
    <x v="0"/>
    <x v="0"/>
    <s v="81 31 08"/>
    <s v="ian.morrison@gmail.com"/>
    <x v="4"/>
    <x v="389"/>
    <x v="32"/>
    <d v="2020-05-05T00:00:00"/>
    <x v="7"/>
    <n v="38980"/>
    <x v="0"/>
  </r>
  <r>
    <n v="16271"/>
    <s v="Amanda"/>
    <s v="May"/>
    <s v="India "/>
    <x v="2"/>
    <x v="2"/>
    <s v="38 84 21"/>
    <s v="amanda.may@gmail.com"/>
    <x v="0"/>
    <x v="390"/>
    <x v="32"/>
    <d v="2020-05-05T00:00:00"/>
    <x v="8"/>
    <n v="66989"/>
    <x v="0"/>
  </r>
  <r>
    <n v="24890"/>
    <s v="Luke"/>
    <s v="Lawrence"/>
    <s v="India "/>
    <x v="0"/>
    <x v="0"/>
    <s v="81 31 08"/>
    <s v="luke.lawrence@gmail.com"/>
    <x v="2"/>
    <x v="391"/>
    <x v="32"/>
    <d v="2020-05-04T00:00:00"/>
    <x v="2"/>
    <n v="57999"/>
    <x v="0"/>
  </r>
  <r>
    <n v="21597"/>
    <s v="Maria"/>
    <s v="Hamilton"/>
    <s v="India "/>
    <x v="1"/>
    <x v="1"/>
    <s v="60 50 01"/>
    <s v="maria.hamilton@gmail.com"/>
    <x v="4"/>
    <x v="392"/>
    <x v="33"/>
    <d v="2020-06-24T00:00:00"/>
    <x v="4"/>
    <n v="38980"/>
    <x v="0"/>
  </r>
  <r>
    <n v="23397"/>
    <s v="Blake"/>
    <s v="Carr"/>
    <s v="India "/>
    <x v="0"/>
    <x v="0"/>
    <s v="81 31 08"/>
    <s v="blake.carr@gmail.com"/>
    <x v="0"/>
    <x v="359"/>
    <x v="34"/>
    <d v="2020-04-07T00:00:00"/>
    <x v="7"/>
    <n v="66989"/>
    <x v="0"/>
  </r>
  <r>
    <n v="19335"/>
    <s v="Carol"/>
    <s v="Brown"/>
    <s v="India "/>
    <x v="2"/>
    <x v="2"/>
    <s v="38 84 21"/>
    <s v="carol.brown@gmail.com"/>
    <x v="1"/>
    <x v="393"/>
    <x v="33"/>
    <d v="2020-06-24T00:00:00"/>
    <x v="3"/>
    <n v="34690"/>
    <x v="0"/>
  </r>
  <r>
    <n v="20975"/>
    <s v="Karen"/>
    <s v="Mackay"/>
    <s v="India "/>
    <x v="2"/>
    <x v="2"/>
    <s v="38 84 21"/>
    <s v="karen.mackay@gmail.com"/>
    <x v="3"/>
    <x v="394"/>
    <x v="33"/>
    <d v="2020-06-23T00:00:00"/>
    <x v="5"/>
    <n v="36990"/>
    <x v="0"/>
  </r>
  <r>
    <n v="16939"/>
    <s v="James"/>
    <s v="McGrath"/>
    <s v="India "/>
    <x v="2"/>
    <x v="2"/>
    <s v="38 84 21"/>
    <s v="james.mcgrath@gmail.com"/>
    <x v="0"/>
    <x v="395"/>
    <x v="34"/>
    <d v="2020-04-07T00:00:00"/>
    <x v="7"/>
    <n v="66989"/>
    <x v="0"/>
  </r>
  <r>
    <n v="23348"/>
    <s v="Heather"/>
    <s v="Gill"/>
    <s v="India "/>
    <x v="2"/>
    <x v="2"/>
    <s v="38 84 21"/>
    <s v="heather.gill@gmail.com"/>
    <x v="4"/>
    <x v="396"/>
    <x v="33"/>
    <d v="2020-06-23T00:00:00"/>
    <x v="1"/>
    <n v="38980"/>
    <x v="0"/>
  </r>
  <r>
    <n v="20490"/>
    <s v="Stephen"/>
    <s v="James"/>
    <s v="India "/>
    <x v="3"/>
    <x v="3"/>
    <s v="11 00 07"/>
    <s v="stephen.james@gmail.com"/>
    <x v="3"/>
    <x v="397"/>
    <x v="35"/>
    <d v="2020-01-04T00:00:00"/>
    <x v="2"/>
    <n v="36990"/>
    <x v="0"/>
  </r>
  <r>
    <n v="18819"/>
    <s v="William"/>
    <s v="Churchill"/>
    <s v="India "/>
    <x v="0"/>
    <x v="0"/>
    <s v="81 31 08"/>
    <s v="william.churchill@gmail.com"/>
    <x v="4"/>
    <x v="398"/>
    <x v="36"/>
    <d v="2020-04-06T00:00:00"/>
    <x v="8"/>
    <n v="38980"/>
    <x v="0"/>
  </r>
  <r>
    <n v="19323"/>
    <s v="Stewart"/>
    <s v="Wallace"/>
    <s v="India "/>
    <x v="1"/>
    <x v="1"/>
    <s v="60 50 01"/>
    <s v="stewart.wallace@gmail.com"/>
    <x v="0"/>
    <x v="36"/>
    <x v="36"/>
    <d v="2020-04-06T00:00:00"/>
    <x v="7"/>
    <n v="66989"/>
    <x v="0"/>
  </r>
  <r>
    <n v="20300"/>
    <s v="Pippa"/>
    <s v="Bell"/>
    <s v="India "/>
    <x v="0"/>
    <x v="0"/>
    <s v="81 31 08"/>
    <s v="pippa.bell@gmail.com"/>
    <x v="2"/>
    <x v="227"/>
    <x v="37"/>
    <d v="2020-04-11T00:00:00"/>
    <x v="3"/>
    <n v="57999"/>
    <x v="0"/>
  </r>
  <r>
    <n v="13476"/>
    <s v="Elizabeth"/>
    <s v="Ince"/>
    <s v="India "/>
    <x v="2"/>
    <x v="2"/>
    <s v="38 84 21"/>
    <s v="elizabeth.ince@gmail.com"/>
    <x v="4"/>
    <x v="169"/>
    <x v="35"/>
    <d v="2020-01-04T00:00:00"/>
    <x v="1"/>
    <n v="38980"/>
    <x v="0"/>
  </r>
  <r>
    <n v="13736"/>
    <s v="Joanne"/>
    <s v="Ferguson"/>
    <s v="India "/>
    <x v="2"/>
    <x v="2"/>
    <s v="38 84 21"/>
    <s v="joanne.ferguson@gmail.com"/>
    <x v="0"/>
    <x v="287"/>
    <x v="36"/>
    <d v="2020-04-06T00:00:00"/>
    <x v="8"/>
    <n v="66989"/>
    <x v="0"/>
  </r>
  <r>
    <n v="21045"/>
    <s v="Adrian"/>
    <s v="King"/>
    <s v="India "/>
    <x v="3"/>
    <x v="3"/>
    <s v="11 00 07"/>
    <s v="adrian.king@gmail.com"/>
    <x v="1"/>
    <x v="399"/>
    <x v="36"/>
    <d v="2020-04-06T00:00:00"/>
    <x v="0"/>
    <n v="34690"/>
    <x v="0"/>
  </r>
  <r>
    <n v="12634"/>
    <s v="William"/>
    <s v="Edmunds"/>
    <s v="India "/>
    <x v="0"/>
    <x v="0"/>
    <s v="81 31 08"/>
    <s v="william.edmunds@gmail.com"/>
    <x v="3"/>
    <x v="400"/>
    <x v="37"/>
    <d v="2020-04-11T00:00:00"/>
    <x v="6"/>
    <n v="36990"/>
    <x v="0"/>
  </r>
  <r>
    <n v="24312"/>
    <s v="Dominic"/>
    <s v="Hunter"/>
    <s v="India "/>
    <x v="1"/>
    <x v="1"/>
    <s v="60 50 01"/>
    <s v="dominic.hunter@gmail.com"/>
    <x v="0"/>
    <x v="401"/>
    <x v="38"/>
    <d v="2020-01-13T00:00:00"/>
    <x v="5"/>
    <n v="66989"/>
    <x v="0"/>
  </r>
  <r>
    <n v="21441"/>
    <s v="Sally"/>
    <s v="Bell"/>
    <s v="India "/>
    <x v="0"/>
    <x v="0"/>
    <s v="81 31 08"/>
    <s v="sally.bell@gmail.com"/>
    <x v="4"/>
    <x v="188"/>
    <x v="38"/>
    <d v="2020-01-14T00:00:00"/>
    <x v="9"/>
    <n v="38980"/>
    <x v="0"/>
  </r>
  <r>
    <n v="23641"/>
    <s v="Katherine"/>
    <s v="Nolan"/>
    <s v="India "/>
    <x v="2"/>
    <x v="2"/>
    <s v="38 84 21"/>
    <s v="katherine.nolan@gmail.com"/>
    <x v="2"/>
    <x v="402"/>
    <x v="37"/>
    <d v="2020-04-10T00:00:00"/>
    <x v="0"/>
    <n v="57999"/>
    <x v="0"/>
  </r>
  <r>
    <n v="18810"/>
    <s v="Sean"/>
    <s v="Morgan"/>
    <s v="India "/>
    <x v="2"/>
    <x v="2"/>
    <s v="38 84 21"/>
    <s v="sean.morgan@gmail.com"/>
    <x v="3"/>
    <x v="354"/>
    <x v="39"/>
    <d v="2020-01-28T00:00:00"/>
    <x v="9"/>
    <n v="36990"/>
    <x v="0"/>
  </r>
  <r>
    <n v="17451"/>
    <s v="Heather"/>
    <s v="Dickens"/>
    <s v="India "/>
    <x v="2"/>
    <x v="2"/>
    <s v="38 84 21"/>
    <s v="heather.dickens@gmail.com"/>
    <x v="4"/>
    <x v="371"/>
    <x v="40"/>
    <d v="2020-05-26T00:00:00"/>
    <x v="8"/>
    <n v="38980"/>
    <x v="0"/>
  </r>
  <r>
    <n v="12577"/>
    <s v="Piers"/>
    <s v="Ellison"/>
    <s v="India "/>
    <x v="3"/>
    <x v="3"/>
    <s v="11 00 07"/>
    <s v="piers.ellison@gmail.com"/>
    <x v="0"/>
    <x v="403"/>
    <x v="41"/>
    <d v="2020-05-17T00:00:00"/>
    <x v="5"/>
    <n v="66989"/>
    <x v="0"/>
  </r>
  <r>
    <n v="12798"/>
    <s v="Tim"/>
    <s v="MacDonald"/>
    <s v="India "/>
    <x v="2"/>
    <x v="2"/>
    <s v="38 84 21"/>
    <s v="tim.macdonald@gmail.com"/>
    <x v="2"/>
    <x v="134"/>
    <x v="41"/>
    <d v="2020-05-17T00:00:00"/>
    <x v="7"/>
    <n v="57999"/>
    <x v="0"/>
  </r>
  <r>
    <n v="25430"/>
    <s v="Victoria"/>
    <s v="Hughes"/>
    <s v="India "/>
    <x v="2"/>
    <x v="2"/>
    <s v="38 84 21"/>
    <s v="victoria.hughes@gmail.com"/>
    <x v="4"/>
    <x v="186"/>
    <x v="42"/>
    <d v="2020-06-03T00:00:00"/>
    <x v="9"/>
    <n v="38980"/>
    <x v="0"/>
  </r>
  <r>
    <n v="12724"/>
    <s v="Emily"/>
    <s v="Metcalfe"/>
    <s v="India "/>
    <x v="3"/>
    <x v="3"/>
    <s v="11 00 07"/>
    <s v="emily.metcalfe@gmail.com"/>
    <x v="0"/>
    <x v="404"/>
    <x v="42"/>
    <d v="2020-06-03T00:00:00"/>
    <x v="3"/>
    <n v="66989"/>
    <x v="0"/>
  </r>
  <r>
    <n v="24157"/>
    <s v="Julian"/>
    <s v="Morrison"/>
    <s v="India "/>
    <x v="3"/>
    <x v="3"/>
    <s v="11 00 07"/>
    <s v="julian.morrison@gmail.com"/>
    <x v="1"/>
    <x v="405"/>
    <x v="43"/>
    <d v="2020-01-17T00:00:00"/>
    <x v="1"/>
    <n v="34690"/>
    <x v="0"/>
  </r>
  <r>
    <n v="14113"/>
    <s v="Angela"/>
    <s v="McDonald"/>
    <s v="India "/>
    <x v="0"/>
    <x v="0"/>
    <s v="81 31 08"/>
    <s v="angela.mcdonald@gmail.com"/>
    <x v="2"/>
    <x v="406"/>
    <x v="44"/>
    <d v="2020-03-16T00:00:00"/>
    <x v="4"/>
    <n v="57999"/>
    <x v="0"/>
  </r>
  <r>
    <n v="23396"/>
    <s v="Justin"/>
    <s v="Davidson"/>
    <s v="India "/>
    <x v="1"/>
    <x v="1"/>
    <s v="60 50 01"/>
    <s v="justin.davidson@gmail.com"/>
    <x v="3"/>
    <x v="407"/>
    <x v="14"/>
    <d v="2020-03-13T00:00:00"/>
    <x v="7"/>
    <n v="36990"/>
    <x v="0"/>
  </r>
  <r>
    <n v="24764"/>
    <s v="Lisa"/>
    <s v="Wilkins"/>
    <s v="India "/>
    <x v="0"/>
    <x v="0"/>
    <s v="81 31 08"/>
    <s v="lisa.wilkins@gmail.com"/>
    <x v="4"/>
    <x v="136"/>
    <x v="45"/>
    <d v="2020-04-24T00:00:00"/>
    <x v="1"/>
    <n v="38980"/>
    <x v="0"/>
  </r>
  <r>
    <n v="16363"/>
    <s v="William"/>
    <s v="Knox"/>
    <s v="India "/>
    <x v="2"/>
    <x v="2"/>
    <s v="38 84 21"/>
    <s v="william.knox@gmail.com"/>
    <x v="0"/>
    <x v="408"/>
    <x v="46"/>
    <d v="2020-01-23T00:00:00"/>
    <x v="3"/>
    <n v="66989"/>
    <x v="0"/>
  </r>
  <r>
    <n v="21495"/>
    <s v="Bernadette"/>
    <s v="Fisher"/>
    <s v="India "/>
    <x v="2"/>
    <x v="2"/>
    <s v="38 84 21"/>
    <s v="bernadette.fisher@gmail.com"/>
    <x v="2"/>
    <x v="409"/>
    <x v="18"/>
    <d v="2020-04-22T00:00:00"/>
    <x v="8"/>
    <n v="57999"/>
    <x v="0"/>
  </r>
  <r>
    <n v="13403"/>
    <s v="Thomas"/>
    <s v="Hart"/>
    <s v="India "/>
    <x v="3"/>
    <x v="3"/>
    <s v="11 00 07"/>
    <s v="thomas.hart@gmail.com"/>
    <x v="4"/>
    <x v="410"/>
    <x v="43"/>
    <d v="2020-01-16T00:00:00"/>
    <x v="0"/>
    <n v="38980"/>
    <x v="0"/>
  </r>
  <r>
    <n v="18531"/>
    <s v="Theresa"/>
    <s v="Mackenzie"/>
    <s v="India "/>
    <x v="0"/>
    <x v="0"/>
    <s v="81 31 08"/>
    <s v="theresa.mackenzie@gmail.com"/>
    <x v="0"/>
    <x v="331"/>
    <x v="47"/>
    <d v="2020-04-26T00:00:00"/>
    <x v="8"/>
    <n v="66989"/>
    <x v="0"/>
  </r>
  <r>
    <n v="25372"/>
    <s v="Karen"/>
    <s v="Smith"/>
    <s v="India "/>
    <x v="2"/>
    <x v="2"/>
    <s v="38 84 21"/>
    <s v="karen.smith@gmail.com"/>
    <x v="1"/>
    <x v="22"/>
    <x v="48"/>
    <d v="2020-04-01T00:00:00"/>
    <x v="7"/>
    <n v="34690"/>
    <x v="0"/>
  </r>
  <r>
    <n v="13197"/>
    <s v="Phil"/>
    <s v="Lyman"/>
    <s v="India "/>
    <x v="3"/>
    <x v="3"/>
    <s v="11 00 07"/>
    <s v="phil.lyman@gmail.com"/>
    <x v="3"/>
    <x v="154"/>
    <x v="49"/>
    <d v="2020-06-22T00:00:00"/>
    <x v="5"/>
    <n v="36990"/>
    <x v="0"/>
  </r>
  <r>
    <n v="23028"/>
    <s v="James"/>
    <s v="Kerr"/>
    <s v="India "/>
    <x v="0"/>
    <x v="0"/>
    <s v="81 31 08"/>
    <s v="james.kerr@gmail.com"/>
    <x v="0"/>
    <x v="137"/>
    <x v="50"/>
    <d v="2020-05-15T00:00:00"/>
    <x v="0"/>
    <n v="66989"/>
    <x v="0"/>
  </r>
  <r>
    <n v="20703"/>
    <s v="Zoe"/>
    <s v="Dickens"/>
    <s v="India "/>
    <x v="3"/>
    <x v="3"/>
    <s v="11 00 07"/>
    <s v="zoe.dickens@gmail.com"/>
    <x v="4"/>
    <x v="279"/>
    <x v="51"/>
    <d v="2020-01-26T00:00:00"/>
    <x v="1"/>
    <n v="38980"/>
    <x v="0"/>
  </r>
  <r>
    <n v="19490"/>
    <s v="Abigail"/>
    <s v="Jones"/>
    <s v="India "/>
    <x v="0"/>
    <x v="0"/>
    <s v="81 31 08"/>
    <s v="abigail.jones@gmail.com"/>
    <x v="2"/>
    <x v="411"/>
    <x v="22"/>
    <d v="2020-01-04T00:00:00"/>
    <x v="7"/>
    <n v="57999"/>
    <x v="0"/>
  </r>
  <r>
    <n v="16082"/>
    <s v="Joe"/>
    <s v="Mills"/>
    <s v="India "/>
    <x v="1"/>
    <x v="1"/>
    <s v="60 50 01"/>
    <s v="joe.mills@gmail.com"/>
    <x v="3"/>
    <x v="412"/>
    <x v="22"/>
    <d v="2020-01-03T00:00:00"/>
    <x v="3"/>
    <n v="36990"/>
    <x v="0"/>
  </r>
  <r>
    <n v="22531"/>
    <s v="Gabrielle"/>
    <s v="Cameron"/>
    <s v="India "/>
    <x v="0"/>
    <x v="0"/>
    <s v="81 31 08"/>
    <s v="gabrielle.cameron@gmail.com"/>
    <x v="4"/>
    <x v="413"/>
    <x v="52"/>
    <d v="2020-01-18T00:00:00"/>
    <x v="1"/>
    <n v="38980"/>
    <x v="0"/>
  </r>
  <r>
    <n v="19272"/>
    <s v="Madeleine"/>
    <s v="Lee"/>
    <s v="India "/>
    <x v="2"/>
    <x v="2"/>
    <s v="38 84 21"/>
    <s v="madeleine.lee@gmail.com"/>
    <x v="0"/>
    <x v="125"/>
    <x v="35"/>
    <d v="2020-01-05T00:00:00"/>
    <x v="0"/>
    <n v="66989"/>
    <x v="0"/>
  </r>
  <r>
    <n v="12635"/>
    <s v="Andrew"/>
    <s v="Davidson"/>
    <s v="India "/>
    <x v="0"/>
    <x v="0"/>
    <s v="81 31 08"/>
    <s v="andrew.davidson@gmail.com"/>
    <x v="2"/>
    <x v="414"/>
    <x v="35"/>
    <d v="2020-01-10T00:00:00"/>
    <x v="4"/>
    <n v="57999"/>
    <x v="0"/>
  </r>
  <r>
    <n v="16673"/>
    <s v="Fiona"/>
    <s v="Hart"/>
    <s v="India "/>
    <x v="1"/>
    <x v="1"/>
    <s v="60 50 01"/>
    <s v="fiona.hart@gmail.com"/>
    <x v="4"/>
    <x v="415"/>
    <x v="35"/>
    <d v="2020-01-07T00:00:00"/>
    <x v="8"/>
    <n v="38980"/>
    <x v="0"/>
  </r>
  <r>
    <n v="20570"/>
    <s v="Justin"/>
    <s v="Cornish"/>
    <s v="India "/>
    <x v="0"/>
    <x v="0"/>
    <s v="81 31 08"/>
    <s v="justin.cornish@gmail.com"/>
    <x v="0"/>
    <x v="416"/>
    <x v="53"/>
    <d v="2020-04-15T00:00:00"/>
    <x v="5"/>
    <n v="66989"/>
    <x v="0"/>
  </r>
  <r>
    <n v="15753"/>
    <s v="Amelia"/>
    <s v="Sutherland"/>
    <s v="India "/>
    <x v="2"/>
    <x v="2"/>
    <s v="38 84 21"/>
    <s v="amelia.sutherland@gmail.com"/>
    <x v="1"/>
    <x v="417"/>
    <x v="54"/>
    <d v="2020-02-21T00:00:00"/>
    <x v="0"/>
    <n v="34690"/>
    <x v="0"/>
  </r>
  <r>
    <n v="14562"/>
    <s v="Jennifer"/>
    <s v="Robertson"/>
    <s v="India "/>
    <x v="2"/>
    <x v="2"/>
    <s v="38 84 21"/>
    <s v="jennifer.robertson@gmail.com"/>
    <x v="0"/>
    <x v="285"/>
    <x v="55"/>
    <d v="2020-05-23T00:00:00"/>
    <x v="8"/>
    <n v="66989"/>
    <x v="0"/>
  </r>
  <r>
    <n v="21554"/>
    <s v="Zoe"/>
    <s v="Hart"/>
    <s v="India "/>
    <x v="2"/>
    <x v="2"/>
    <s v="38 84 21"/>
    <s v="zoe.hart@gmail.com"/>
    <x v="1"/>
    <x v="418"/>
    <x v="54"/>
    <d v="2020-02-21T00:00:00"/>
    <x v="3"/>
    <n v="34690"/>
    <x v="0"/>
  </r>
  <r>
    <n v="23965"/>
    <s v="Owen"/>
    <s v="Rees"/>
    <s v="India "/>
    <x v="2"/>
    <x v="2"/>
    <s v="38 84 21"/>
    <s v="owen.rees@gmail.com"/>
    <x v="2"/>
    <x v="408"/>
    <x v="55"/>
    <d v="2020-05-22T00:00:00"/>
    <x v="3"/>
    <n v="57999"/>
    <x v="0"/>
  </r>
  <r>
    <n v="12632"/>
    <s v="Dylan"/>
    <s v="Baker"/>
    <s v="India "/>
    <x v="3"/>
    <x v="3"/>
    <s v="11 00 07"/>
    <s v="dylan.baker@gmail.com"/>
    <x v="3"/>
    <x v="340"/>
    <x v="55"/>
    <d v="2020-05-23T00:00:00"/>
    <x v="8"/>
    <n v="36990"/>
    <x v="0"/>
  </r>
  <r>
    <n v="22789"/>
    <s v="Yvonne"/>
    <s v="Simpson"/>
    <s v="India "/>
    <x v="0"/>
    <x v="0"/>
    <s v="81 31 08"/>
    <s v="yvonne.simpson@gmail.com"/>
    <x v="4"/>
    <x v="205"/>
    <x v="6"/>
    <d v="2020-02-13T00:00:00"/>
    <x v="0"/>
    <n v="38980"/>
    <x v="0"/>
  </r>
  <r>
    <n v="24622"/>
    <s v="Mary"/>
    <s v="Oliver"/>
    <s v="India "/>
    <x v="1"/>
    <x v="1"/>
    <s v="60 50 01"/>
    <s v="mary.oliver@gmail.com"/>
    <x v="0"/>
    <x v="419"/>
    <x v="6"/>
    <d v="2020-02-15T00:00:00"/>
    <x v="8"/>
    <n v="66989"/>
    <x v="0"/>
  </r>
  <r>
    <n v="15205"/>
    <s v="Owen"/>
    <s v="Wilkins"/>
    <s v="India "/>
    <x v="0"/>
    <x v="0"/>
    <s v="81 31 08"/>
    <s v="owen.wilkins@gmail.com"/>
    <x v="2"/>
    <x v="269"/>
    <x v="37"/>
    <d v="2020-04-11T00:00:00"/>
    <x v="7"/>
    <n v="57999"/>
    <x v="0"/>
  </r>
  <r>
    <n v="23895"/>
    <s v="Donna"/>
    <s v="Abraham"/>
    <s v="India "/>
    <x v="2"/>
    <x v="2"/>
    <s v="38 84 21"/>
    <s v="donna.abraham@gmail.com"/>
    <x v="4"/>
    <x v="420"/>
    <x v="37"/>
    <d v="2020-04-09T00:00:00"/>
    <x v="6"/>
    <n v="38980"/>
    <x v="0"/>
  </r>
  <r>
    <n v="21302"/>
    <s v="Donna"/>
    <s v="Peters"/>
    <s v="India "/>
    <x v="2"/>
    <x v="2"/>
    <s v="38 84 21"/>
    <s v="donna.peters@gmail.com"/>
    <x v="0"/>
    <x v="421"/>
    <x v="37"/>
    <d v="2020-04-10T00:00:00"/>
    <x v="6"/>
    <n v="66989"/>
    <x v="0"/>
  </r>
  <r>
    <n v="15081"/>
    <s v="Matt"/>
    <s v="Paige"/>
    <s v="India "/>
    <x v="3"/>
    <x v="3"/>
    <s v="11 00 07"/>
    <s v="matt.paige@gmail.com"/>
    <x v="1"/>
    <x v="422"/>
    <x v="35"/>
    <d v="2020-01-05T00:00:00"/>
    <x v="4"/>
    <n v="34690"/>
    <x v="0"/>
  </r>
  <r>
    <n v="21533"/>
    <s v="Carolyn"/>
    <s v="Parsons"/>
    <s v="India "/>
    <x v="0"/>
    <x v="0"/>
    <s v="81 31 08"/>
    <s v="carolyn.parsons@gmail.com"/>
    <x v="3"/>
    <x v="397"/>
    <x v="25"/>
    <d v="2020-04-01T00:00:00"/>
    <x v="5"/>
    <n v="36990"/>
    <x v="0"/>
  </r>
  <r>
    <n v="13184"/>
    <s v="Irene"/>
    <s v="McLean"/>
    <s v="India "/>
    <x v="1"/>
    <x v="1"/>
    <s v="60 50 01"/>
    <s v="irene.mclean@gmail.com"/>
    <x v="0"/>
    <x v="83"/>
    <x v="56"/>
    <d v="2020-01-11T00:00:00"/>
    <x v="4"/>
    <n v="66989"/>
    <x v="0"/>
  </r>
  <r>
    <n v="20429"/>
    <s v="Bernadette"/>
    <s v="Hart"/>
    <s v="India "/>
    <x v="0"/>
    <x v="0"/>
    <s v="81 31 08"/>
    <s v="bernadette.hart@gmail.com"/>
    <x v="4"/>
    <x v="423"/>
    <x v="25"/>
    <d v="2020-04-01T00:00:00"/>
    <x v="3"/>
    <n v="38980"/>
    <x v="0"/>
  </r>
  <r>
    <n v="23700"/>
    <s v="Andrea"/>
    <s v="Chapman"/>
    <s v="India "/>
    <x v="2"/>
    <x v="2"/>
    <s v="38 84 21"/>
    <s v="andrea.chapman@gmail.com"/>
    <x v="2"/>
    <x v="112"/>
    <x v="57"/>
    <d v="2020-04-04T00:00:00"/>
    <x v="7"/>
    <n v="57999"/>
    <x v="0"/>
  </r>
  <r>
    <n v="13461"/>
    <s v="Audrey"/>
    <s v="Allan"/>
    <s v="India "/>
    <x v="2"/>
    <x v="2"/>
    <s v="38 84 21"/>
    <s v="audrey.allan@gmail.com"/>
    <x v="3"/>
    <x v="424"/>
    <x v="57"/>
    <d v="2020-04-04T00:00:00"/>
    <x v="5"/>
    <n v="36990"/>
    <x v="0"/>
  </r>
  <r>
    <n v="16857"/>
    <s v="Joan"/>
    <s v="Russell"/>
    <s v="India "/>
    <x v="2"/>
    <x v="2"/>
    <s v="38 84 21"/>
    <s v="joan.russell@gmail.com"/>
    <x v="4"/>
    <x v="363"/>
    <x v="58"/>
    <d v="2020-04-28T00:00:00"/>
    <x v="0"/>
    <n v="38980"/>
    <x v="0"/>
  </r>
  <r>
    <n v="17001"/>
    <s v="Charles"/>
    <s v="Peters"/>
    <s v="India "/>
    <x v="2"/>
    <x v="2"/>
    <s v="38 84 21"/>
    <s v="charles.peters@gmail.com"/>
    <x v="0"/>
    <x v="131"/>
    <x v="59"/>
    <d v="2020-01-18T00:00:00"/>
    <x v="8"/>
    <n v="66989"/>
    <x v="0"/>
  </r>
  <r>
    <n v="19549"/>
    <s v="Luke"/>
    <s v="Anderson"/>
    <s v="India "/>
    <x v="3"/>
    <x v="3"/>
    <s v="11 00 07"/>
    <s v="luke.anderson@gmail.com"/>
    <x v="2"/>
    <x v="425"/>
    <x v="60"/>
    <d v="2020-01-21T00:00:00"/>
    <x v="5"/>
    <n v="57999"/>
    <x v="0"/>
  </r>
  <r>
    <n v="19239"/>
    <s v="Amelia"/>
    <s v="Peake"/>
    <s v="India "/>
    <x v="0"/>
    <x v="0"/>
    <s v="81 31 08"/>
    <s v="amelia.peake@gmail.com"/>
    <x v="4"/>
    <x v="189"/>
    <x v="42"/>
    <d v="2020-06-02T00:00:00"/>
    <x v="7"/>
    <n v="38980"/>
    <x v="0"/>
  </r>
  <r>
    <n v="20271"/>
    <s v="Simon"/>
    <s v="Walsh"/>
    <s v="India "/>
    <x v="1"/>
    <x v="1"/>
    <s v="60 50 01"/>
    <s v="simon.walsh@gmail.com"/>
    <x v="0"/>
    <x v="111"/>
    <x v="42"/>
    <d v="2020-06-02T00:00:00"/>
    <x v="9"/>
    <n v="66989"/>
    <x v="0"/>
  </r>
  <r>
    <n v="24004"/>
    <s v="Warren"/>
    <s v="Carr"/>
    <s v="India "/>
    <x v="0"/>
    <x v="0"/>
    <s v="81 31 08"/>
    <s v="warren.carr@gmail.com"/>
    <x v="1"/>
    <x v="426"/>
    <x v="3"/>
    <d v="2020-05-13T00:00:00"/>
    <x v="8"/>
    <n v="34690"/>
    <x v="0"/>
  </r>
  <r>
    <n v="14473"/>
    <s v="Sam"/>
    <s v="Ince"/>
    <s v="India "/>
    <x v="2"/>
    <x v="2"/>
    <s v="38 84 21"/>
    <s v="sam.ince@gmail.com"/>
    <x v="2"/>
    <x v="427"/>
    <x v="4"/>
    <d v="2020-04-09T00:00:00"/>
    <x v="0"/>
    <n v="57999"/>
    <x v="0"/>
  </r>
  <r>
    <n v="17625"/>
    <s v="Faith"/>
    <s v="Poole"/>
    <s v="India "/>
    <x v="2"/>
    <x v="2"/>
    <s v="38 84 21"/>
    <s v="faith.poole@gmail.com"/>
    <x v="3"/>
    <x v="428"/>
    <x v="5"/>
    <d v="2020-05-28T00:00:00"/>
    <x v="4"/>
    <n v="36990"/>
    <x v="0"/>
  </r>
  <r>
    <n v="16631"/>
    <s v="Wendy"/>
    <s v="Tucker"/>
    <s v="India "/>
    <x v="2"/>
    <x v="2"/>
    <s v="38 84 21"/>
    <s v="wendy.tucker@gmail.com"/>
    <x v="4"/>
    <x v="429"/>
    <x v="6"/>
    <d v="2020-02-15T00:00:00"/>
    <x v="2"/>
    <n v="38980"/>
    <x v="0"/>
  </r>
  <r>
    <n v="23556"/>
    <s v="Diana"/>
    <s v="Gibson"/>
    <s v="India "/>
    <x v="3"/>
    <x v="3"/>
    <s v="11 00 07"/>
    <s v="diana.gibson@gmail.com"/>
    <x v="0"/>
    <x v="430"/>
    <x v="6"/>
    <d v="2020-02-14T00:00:00"/>
    <x v="9"/>
    <n v="66989"/>
    <x v="0"/>
  </r>
  <r>
    <n v="13466"/>
    <s v="Sean"/>
    <s v="Clark"/>
    <s v="India "/>
    <x v="2"/>
    <x v="2"/>
    <s v="38 84 21"/>
    <s v="sean.clark@gmail.com"/>
    <x v="2"/>
    <x v="431"/>
    <x v="7"/>
    <d v="2020-05-16T00:00:00"/>
    <x v="3"/>
    <n v="57999"/>
    <x v="0"/>
  </r>
  <r>
    <n v="19788"/>
    <s v="Tracey"/>
    <s v="McDonald"/>
    <s v="India "/>
    <x v="2"/>
    <x v="2"/>
    <s v="38 84 21"/>
    <s v="tracey.mcdonald@gmail.com"/>
    <x v="3"/>
    <x v="160"/>
    <x v="8"/>
    <d v="2020-05-23T00:00:00"/>
    <x v="5"/>
    <n v="36990"/>
    <x v="0"/>
  </r>
  <r>
    <n v="16651"/>
    <s v="Jan"/>
    <s v="Randall"/>
    <s v="India "/>
    <x v="3"/>
    <x v="3"/>
    <s v="11 00 07"/>
    <s v="jan.randall@gmail.com"/>
    <x v="4"/>
    <x v="317"/>
    <x v="7"/>
    <d v="2020-05-16T00:00:00"/>
    <x v="0"/>
    <n v="38980"/>
    <x v="0"/>
  </r>
  <r>
    <n v="25676"/>
    <s v="Brandon"/>
    <s v="Underwood"/>
    <s v="India "/>
    <x v="3"/>
    <x v="3"/>
    <s v="11 00 07"/>
    <s v="brandon.underwood@gmail.com"/>
    <x v="0"/>
    <x v="170"/>
    <x v="8"/>
    <d v="2020-05-22T00:00:00"/>
    <x v="5"/>
    <n v="66989"/>
    <x v="0"/>
  </r>
  <r>
    <n v="24035"/>
    <s v="Diane"/>
    <s v="Mitchell"/>
    <s v="India "/>
    <x v="0"/>
    <x v="0"/>
    <s v="81 31 08"/>
    <s v="diane.mitchell@gmail.com"/>
    <x v="2"/>
    <x v="228"/>
    <x v="8"/>
    <d v="2020-05-23T00:00:00"/>
    <x v="4"/>
    <n v="57999"/>
    <x v="0"/>
  </r>
  <r>
    <n v="21797"/>
    <s v="Alison"/>
    <s v="Cornish"/>
    <s v="India "/>
    <x v="1"/>
    <x v="1"/>
    <s v="60 50 01"/>
    <s v="alison.cornish@gmail.com"/>
    <x v="4"/>
    <x v="11"/>
    <x v="9"/>
    <d v="2020-01-29T00:00:00"/>
    <x v="7"/>
    <n v="38980"/>
    <x v="0"/>
  </r>
  <r>
    <n v="23111"/>
    <s v="Keith"/>
    <s v="Hughes"/>
    <s v="India "/>
    <x v="0"/>
    <x v="0"/>
    <s v="81 31 08"/>
    <s v="keith.hughes@gmail.com"/>
    <x v="0"/>
    <x v="432"/>
    <x v="9"/>
    <d v="2020-01-30T00:00:00"/>
    <x v="6"/>
    <n v="66989"/>
    <x v="0"/>
  </r>
  <r>
    <n v="14585"/>
    <s v="Evan"/>
    <s v="Rees"/>
    <s v="India "/>
    <x v="2"/>
    <x v="2"/>
    <s v="38 84 21"/>
    <s v="evan.rees@gmail.com"/>
    <x v="1"/>
    <x v="433"/>
    <x v="10"/>
    <d v="2020-05-04T00:00:00"/>
    <x v="7"/>
    <n v="34690"/>
    <x v="0"/>
  </r>
  <r>
    <n v="16268"/>
    <s v="Lillian"/>
    <s v="Parr"/>
    <s v="India "/>
    <x v="2"/>
    <x v="2"/>
    <s v="38 84 21"/>
    <s v="lillian.parr@gmail.com"/>
    <x v="3"/>
    <x v="434"/>
    <x v="11"/>
    <d v="2020-02-23T00:00:00"/>
    <x v="2"/>
    <n v="36990"/>
    <x v="0"/>
  </r>
  <r>
    <n v="13669"/>
    <s v="Simon"/>
    <s v="Morgan"/>
    <s v="India "/>
    <x v="3"/>
    <x v="3"/>
    <s v="11 00 07"/>
    <s v="simon.morgan@gmail.com"/>
    <x v="0"/>
    <x v="435"/>
    <x v="12"/>
    <d v="2020-03-28T00:00:00"/>
    <x v="4"/>
    <n v="66989"/>
    <x v="0"/>
  </r>
  <r>
    <n v="14014"/>
    <s v="Donna"/>
    <s v="Lawrence"/>
    <s v="India "/>
    <x v="0"/>
    <x v="0"/>
    <s v="81 31 08"/>
    <s v="donna.lawrence@gmail.com"/>
    <x v="4"/>
    <x v="397"/>
    <x v="13"/>
    <d v="2020-01-22T00:00:00"/>
    <x v="0"/>
    <n v="38980"/>
    <x v="0"/>
  </r>
  <r>
    <n v="22727"/>
    <s v="Eric"/>
    <s v="Martin"/>
    <s v="India "/>
    <x v="1"/>
    <x v="1"/>
    <s v="60 50 01"/>
    <s v="eric.martin@gmail.com"/>
    <x v="2"/>
    <x v="133"/>
    <x v="14"/>
    <d v="2020-03-19T00:00:00"/>
    <x v="6"/>
    <n v="57999"/>
    <x v="0"/>
  </r>
  <r>
    <n v="24963"/>
    <s v="Grace"/>
    <s v="Hill"/>
    <s v="India "/>
    <x v="0"/>
    <x v="0"/>
    <s v="81 31 08"/>
    <s v="grace.hill@gmail.com"/>
    <x v="3"/>
    <x v="187"/>
    <x v="15"/>
    <d v="2020-06-17T00:00:00"/>
    <x v="9"/>
    <n v="36990"/>
    <x v="0"/>
  </r>
  <r>
    <n v="18742"/>
    <s v="Lauren"/>
    <s v="Davidson"/>
    <s v="India "/>
    <x v="2"/>
    <x v="2"/>
    <s v="38 84 21"/>
    <s v="lauren.davidson@gmail.com"/>
    <x v="4"/>
    <x v="436"/>
    <x v="15"/>
    <d v="2020-06-16T00:00:00"/>
    <x v="5"/>
    <n v="38980"/>
    <x v="0"/>
  </r>
  <r>
    <n v="19298"/>
    <s v="Warren"/>
    <s v="Mackenzie"/>
    <s v="India "/>
    <x v="2"/>
    <x v="2"/>
    <s v="38 84 21"/>
    <s v="warren.mackenzie@gmail.com"/>
    <x v="0"/>
    <x v="5"/>
    <x v="16"/>
    <d v="2020-05-11T00:00:00"/>
    <x v="4"/>
    <n v="66989"/>
    <x v="0"/>
  </r>
  <r>
    <n v="19856"/>
    <s v="Colin"/>
    <s v="Jones"/>
    <s v="India "/>
    <x v="3"/>
    <x v="3"/>
    <s v="11 00 07"/>
    <s v="colin.jones@gmail.com"/>
    <x v="2"/>
    <x v="437"/>
    <x v="32"/>
    <d v="2020-05-05T00:00:00"/>
    <x v="6"/>
    <n v="57999"/>
    <x v="0"/>
  </r>
  <r>
    <n v="16626"/>
    <s v="Christopher"/>
    <s v="Gibson"/>
    <s v="India "/>
    <x v="0"/>
    <x v="0"/>
    <s v="81 31 08"/>
    <s v="christopher.gibson@gmail.com"/>
    <x v="4"/>
    <x v="438"/>
    <x v="32"/>
    <d v="2020-05-05T00:00:00"/>
    <x v="8"/>
    <n v="38980"/>
    <x v="0"/>
  </r>
  <r>
    <n v="17343"/>
    <s v="Justin"/>
    <s v="Clark"/>
    <s v="India "/>
    <x v="3"/>
    <x v="3"/>
    <s v="11 00 07"/>
    <s v="justin.clark@gmail.com"/>
    <x v="0"/>
    <x v="439"/>
    <x v="32"/>
    <d v="2020-05-04T00:00:00"/>
    <x v="1"/>
    <n v="66989"/>
    <x v="0"/>
  </r>
  <r>
    <n v="17012"/>
    <s v="Boris"/>
    <s v="Alsop"/>
    <s v="India "/>
    <x v="0"/>
    <x v="0"/>
    <s v="81 31 08"/>
    <s v="boris.alsop@gmail.com"/>
    <x v="1"/>
    <x v="440"/>
    <x v="33"/>
    <d v="2020-06-24T00:00:00"/>
    <x v="7"/>
    <n v="34690"/>
    <x v="0"/>
  </r>
  <r>
    <n v="19448"/>
    <s v="Sally"/>
    <s v="Rampling"/>
    <s v="India "/>
    <x v="1"/>
    <x v="1"/>
    <s v="60 50 01"/>
    <s v="sally.rampling@gmail.com"/>
    <x v="2"/>
    <x v="441"/>
    <x v="34"/>
    <d v="2020-04-07T00:00:00"/>
    <x v="6"/>
    <n v="57999"/>
    <x v="0"/>
  </r>
  <r>
    <n v="25216"/>
    <s v="Christopher"/>
    <s v="Mackenzie"/>
    <s v="India "/>
    <x v="0"/>
    <x v="0"/>
    <s v="81 31 08"/>
    <s v="christopher.mackenzie@gmail.com"/>
    <x v="3"/>
    <x v="442"/>
    <x v="33"/>
    <d v="2020-06-24T00:00:00"/>
    <x v="8"/>
    <n v="36990"/>
    <x v="0"/>
  </r>
  <r>
    <n v="17682"/>
    <s v="Diana"/>
    <s v="Langdon"/>
    <s v="India "/>
    <x v="2"/>
    <x v="2"/>
    <s v="38 84 21"/>
    <s v="diana.langdon@gmail.com"/>
    <x v="4"/>
    <x v="321"/>
    <x v="33"/>
    <d v="2020-06-23T00:00:00"/>
    <x v="2"/>
    <n v="38980"/>
    <x v="0"/>
  </r>
  <r>
    <n v="18525"/>
    <s v="Jonathan"/>
    <s v="Anderson"/>
    <s v="India "/>
    <x v="0"/>
    <x v="0"/>
    <s v="81 31 08"/>
    <s v="jonathan.anderson@gmail.com"/>
    <x v="0"/>
    <x v="39"/>
    <x v="34"/>
    <d v="2020-04-07T00:00:00"/>
    <x v="1"/>
    <n v="66989"/>
    <x v="0"/>
  </r>
  <r>
    <n v="15307"/>
    <s v="Melanie"/>
    <s v="Slater"/>
    <s v="India "/>
    <x v="1"/>
    <x v="1"/>
    <s v="60 50 01"/>
    <s v="melanie.slater@gmail.com"/>
    <x v="2"/>
    <x v="255"/>
    <x v="33"/>
    <d v="2020-06-23T00:00:00"/>
    <x v="0"/>
    <n v="57999"/>
    <x v="0"/>
  </r>
  <r>
    <n v="17902"/>
    <s v="Michael"/>
    <s v="Rutherford"/>
    <s v="India "/>
    <x v="0"/>
    <x v="0"/>
    <s v="81 31 08"/>
    <s v="michael.rutherford@gmail.com"/>
    <x v="4"/>
    <x v="443"/>
    <x v="35"/>
    <d v="2020-01-04T00:00:00"/>
    <x v="1"/>
    <n v="38980"/>
    <x v="0"/>
  </r>
  <r>
    <n v="16499"/>
    <s v="Sean"/>
    <s v="Rampling"/>
    <s v="India "/>
    <x v="2"/>
    <x v="2"/>
    <s v="38 84 21"/>
    <s v="sean.rampling@gmail.com"/>
    <x v="0"/>
    <x v="444"/>
    <x v="36"/>
    <d v="2020-04-06T00:00:00"/>
    <x v="7"/>
    <n v="66989"/>
    <x v="0"/>
  </r>
  <r>
    <n v="18537"/>
    <s v="Deirdre"/>
    <s v="Sharp"/>
    <s v="India "/>
    <x v="2"/>
    <x v="2"/>
    <s v="38 84 21"/>
    <s v="deirdre.sharp@gmail.com"/>
    <x v="1"/>
    <x v="445"/>
    <x v="36"/>
    <d v="2020-04-06T00:00:00"/>
    <x v="4"/>
    <n v="34690"/>
    <x v="0"/>
  </r>
  <r>
    <n v="20303"/>
    <s v="Oliver"/>
    <s v="Hart"/>
    <s v="India "/>
    <x v="2"/>
    <x v="2"/>
    <s v="38 84 21"/>
    <s v="oliver.hart@gmail.com"/>
    <x v="3"/>
    <x v="348"/>
    <x v="37"/>
    <d v="2020-04-11T00:00:00"/>
    <x v="1"/>
    <n v="36990"/>
    <x v="0"/>
  </r>
  <r>
    <n v="18529"/>
    <s v="Alan"/>
    <s v="Rutherford"/>
    <s v="India "/>
    <x v="2"/>
    <x v="2"/>
    <s v="38 84 21"/>
    <s v="alan.rutherford@gmail.com"/>
    <x v="0"/>
    <x v="446"/>
    <x v="35"/>
    <d v="2020-01-04T00:00:00"/>
    <x v="7"/>
    <n v="66989"/>
    <x v="0"/>
  </r>
  <r>
    <n v="21056"/>
    <s v="Joanne"/>
    <s v="Payne"/>
    <s v="India "/>
    <x v="3"/>
    <x v="3"/>
    <s v="11 00 07"/>
    <s v="joanne.payne@gmail.com"/>
    <x v="4"/>
    <x v="447"/>
    <x v="36"/>
    <d v="2020-04-06T00:00:00"/>
    <x v="2"/>
    <n v="38980"/>
    <x v="0"/>
  </r>
  <r>
    <n v="19299"/>
    <s v="Luke"/>
    <s v="Vaughan"/>
    <s v="India "/>
    <x v="0"/>
    <x v="0"/>
    <s v="81 31 08"/>
    <s v="luke.vaughan@gmail.com"/>
    <x v="2"/>
    <x v="448"/>
    <x v="36"/>
    <d v="2020-04-06T00:00:00"/>
    <x v="8"/>
    <n v="57999"/>
    <x v="0"/>
  </r>
  <r>
    <n v="20072"/>
    <s v="Wanda"/>
    <s v="Kerr"/>
    <s v="India "/>
    <x v="1"/>
    <x v="1"/>
    <s v="60 50 01"/>
    <s v="wanda.kerr@gmail.com"/>
    <x v="3"/>
    <x v="449"/>
    <x v="37"/>
    <d v="2020-04-11T00:00:00"/>
    <x v="4"/>
    <n v="36990"/>
    <x v="0"/>
  </r>
  <r>
    <n v="15858"/>
    <s v="Yvonne"/>
    <s v="Rees"/>
    <s v="India "/>
    <x v="0"/>
    <x v="0"/>
    <s v="81 31 08"/>
    <s v="yvonne.rees@gmail.com"/>
    <x v="4"/>
    <x v="450"/>
    <x v="38"/>
    <d v="2020-01-13T00:00:00"/>
    <x v="1"/>
    <n v="38980"/>
    <x v="0"/>
  </r>
  <r>
    <n v="19746"/>
    <s v="Frank"/>
    <s v="Knox"/>
    <s v="India "/>
    <x v="2"/>
    <x v="2"/>
    <s v="38 84 21"/>
    <s v="frank.knox@gmail.com"/>
    <x v="0"/>
    <x v="451"/>
    <x v="38"/>
    <d v="2020-01-14T00:00:00"/>
    <x v="0"/>
    <n v="66989"/>
    <x v="0"/>
  </r>
  <r>
    <n v="13062"/>
    <s v="Natalie"/>
    <s v="Dyer"/>
    <s v="India "/>
    <x v="2"/>
    <x v="2"/>
    <s v="38 84 21"/>
    <s v="natalie.dyer@gmail.com"/>
    <x v="2"/>
    <x v="133"/>
    <x v="37"/>
    <d v="2020-04-10T00:00:00"/>
    <x v="0"/>
    <n v="57999"/>
    <x v="0"/>
  </r>
  <r>
    <n v="23158"/>
    <s v="Gavin"/>
    <s v="Graham"/>
    <s v="India "/>
    <x v="3"/>
    <x v="3"/>
    <s v="11 00 07"/>
    <s v="gavin.graham@gmail.com"/>
    <x v="4"/>
    <x v="452"/>
    <x v="39"/>
    <d v="2020-01-28T00:00:00"/>
    <x v="7"/>
    <n v="38980"/>
    <x v="0"/>
  </r>
  <r>
    <n v="14510"/>
    <s v="Alison"/>
    <s v="Walker"/>
    <s v="India "/>
    <x v="0"/>
    <x v="0"/>
    <s v="81 31 08"/>
    <s v="alison.walker@gmail.com"/>
    <x v="0"/>
    <x v="453"/>
    <x v="40"/>
    <d v="2020-05-26T00:00:00"/>
    <x v="6"/>
    <n v="66989"/>
    <x v="0"/>
  </r>
  <r>
    <n v="23383"/>
    <s v="Alexander"/>
    <s v="May"/>
    <s v="India "/>
    <x v="1"/>
    <x v="1"/>
    <s v="60 50 01"/>
    <s v="alexander.may@gmail.com"/>
    <x v="1"/>
    <x v="454"/>
    <x v="41"/>
    <d v="2020-05-17T00:00:00"/>
    <x v="8"/>
    <n v="34690"/>
    <x v="0"/>
  </r>
  <r>
    <n v="17760"/>
    <s v="Claire"/>
    <s v="Hudson"/>
    <s v="India "/>
    <x v="0"/>
    <x v="0"/>
    <s v="81 31 08"/>
    <s v="claire.hudson@gmail.com"/>
    <x v="0"/>
    <x v="455"/>
    <x v="41"/>
    <d v="2020-05-17T00:00:00"/>
    <x v="0"/>
    <n v="66989"/>
    <x v="0"/>
  </r>
  <r>
    <n v="17642"/>
    <s v="Alison"/>
    <s v="Rees"/>
    <s v="India "/>
    <x v="2"/>
    <x v="2"/>
    <s v="38 84 21"/>
    <s v="alison.rees@gmail.com"/>
    <x v="1"/>
    <x v="456"/>
    <x v="42"/>
    <d v="2020-06-03T00:00:00"/>
    <x v="7"/>
    <n v="34690"/>
    <x v="0"/>
  </r>
  <r>
    <n v="20055"/>
    <s v="Stephen"/>
    <s v="Abraham"/>
    <s v="India "/>
    <x v="2"/>
    <x v="2"/>
    <s v="38 84 21"/>
    <s v="stephen.abraham@gmail.com"/>
    <x v="2"/>
    <x v="173"/>
    <x v="42"/>
    <d v="2020-06-03T00:00:00"/>
    <x v="4"/>
    <n v="57999"/>
    <x v="0"/>
  </r>
  <r>
    <n v="12706"/>
    <s v="Bella"/>
    <s v="Davidson"/>
    <s v="India "/>
    <x v="2"/>
    <x v="2"/>
    <s v="38 84 21"/>
    <s v="bella.davidson@gmail.com"/>
    <x v="3"/>
    <x v="262"/>
    <x v="43"/>
    <d v="2020-01-17T00:00:00"/>
    <x v="4"/>
    <n v="36990"/>
    <x v="0"/>
  </r>
  <r>
    <n v="14458"/>
    <s v="Anthony"/>
    <s v="Watson"/>
    <s v="India "/>
    <x v="3"/>
    <x v="3"/>
    <s v="11 00 07"/>
    <s v="anthony.watson@gmail.com"/>
    <x v="4"/>
    <x v="403"/>
    <x v="44"/>
    <d v="2020-03-16T00:00:00"/>
    <x v="7"/>
    <n v="38980"/>
    <x v="0"/>
  </r>
  <r>
    <n v="23027"/>
    <s v="Adam"/>
    <s v="Lawrence"/>
    <s v="India "/>
    <x v="2"/>
    <x v="2"/>
    <s v="38 84 21"/>
    <s v="adam.lawrence@gmail.com"/>
    <x v="0"/>
    <x v="457"/>
    <x v="14"/>
    <d v="2020-03-13T00:00:00"/>
    <x v="5"/>
    <n v="66989"/>
    <x v="0"/>
  </r>
  <r>
    <n v="22355"/>
    <s v="Claire"/>
    <s v="Edmunds"/>
    <s v="India "/>
    <x v="2"/>
    <x v="2"/>
    <s v="38 84 21"/>
    <s v="claire.edmunds@gmail.com"/>
    <x v="2"/>
    <x v="458"/>
    <x v="45"/>
    <d v="2020-04-24T00:00:00"/>
    <x v="1"/>
    <n v="57999"/>
    <x v="0"/>
  </r>
  <r>
    <n v="12991"/>
    <s v="Max"/>
    <s v="Ogden"/>
    <s v="India "/>
    <x v="3"/>
    <x v="3"/>
    <s v="11 00 07"/>
    <s v="max.ogden@gmail.com"/>
    <x v="4"/>
    <x v="459"/>
    <x v="46"/>
    <d v="2020-01-23T00:00:00"/>
    <x v="8"/>
    <n v="38980"/>
    <x v="0"/>
  </r>
  <r>
    <n v="24392"/>
    <s v="Amelia"/>
    <s v="Powell"/>
    <s v="India "/>
    <x v="3"/>
    <x v="3"/>
    <s v="11 00 07"/>
    <s v="amelia.powell@gmail.com"/>
    <x v="0"/>
    <x v="460"/>
    <x v="18"/>
    <d v="2020-04-22T00:00:00"/>
    <x v="2"/>
    <n v="66989"/>
    <x v="0"/>
  </r>
  <r>
    <n v="17987"/>
    <s v="Sean"/>
    <s v="Parr"/>
    <s v="India "/>
    <x v="0"/>
    <x v="0"/>
    <s v="81 31 08"/>
    <s v="sean.parr@gmail.com"/>
    <x v="1"/>
    <x v="401"/>
    <x v="43"/>
    <d v="2020-01-16T00:00:00"/>
    <x v="1"/>
    <n v="34690"/>
    <x v="0"/>
  </r>
  <r>
    <n v="18154"/>
    <s v="Harry"/>
    <s v="Davidson"/>
    <s v="India "/>
    <x v="1"/>
    <x v="1"/>
    <s v="60 50 01"/>
    <s v="harry.davidson@gmail.com"/>
    <x v="0"/>
    <x v="461"/>
    <x v="47"/>
    <d v="2020-04-26T00:00:00"/>
    <x v="4"/>
    <n v="66989"/>
    <x v="0"/>
  </r>
  <r>
    <n v="22719"/>
    <s v="Sebastian"/>
    <s v="Edmunds"/>
    <s v="India "/>
    <x v="0"/>
    <x v="0"/>
    <s v="81 31 08"/>
    <s v="sebastian.edmunds@gmail.com"/>
    <x v="4"/>
    <x v="462"/>
    <x v="48"/>
    <d v="2020-04-01T00:00:00"/>
    <x v="7"/>
    <n v="38980"/>
    <x v="0"/>
  </r>
  <r>
    <n v="24390"/>
    <s v="Sebastian"/>
    <s v="Rees"/>
    <s v="India "/>
    <x v="2"/>
    <x v="2"/>
    <s v="38 84 21"/>
    <s v="sebastian.rees@gmail.com"/>
    <x v="2"/>
    <x v="55"/>
    <x v="49"/>
    <d v="2020-06-22T00:00:00"/>
    <x v="4"/>
    <n v="57999"/>
    <x v="0"/>
  </r>
  <r>
    <n v="22211"/>
    <s v="Sarah"/>
    <s v="Simpson"/>
    <s v="India "/>
    <x v="2"/>
    <x v="2"/>
    <s v="38 84 21"/>
    <s v="sarah.simpson@gmail.com"/>
    <x v="3"/>
    <x v="463"/>
    <x v="50"/>
    <d v="2020-05-15T00:00:00"/>
    <x v="0"/>
    <n v="36990"/>
    <x v="0"/>
  </r>
  <r>
    <n v="17543"/>
    <s v="Amy"/>
    <s v="Rutherford"/>
    <s v="India "/>
    <x v="3"/>
    <x v="3"/>
    <s v="11 00 07"/>
    <s v="amy.rutherford@gmail.com"/>
    <x v="4"/>
    <x v="37"/>
    <x v="51"/>
    <d v="2020-01-26T00:00:00"/>
    <x v="0"/>
    <n v="38980"/>
    <x v="0"/>
  </r>
  <r>
    <n v="22421"/>
    <s v="Liam"/>
    <s v="Bailey"/>
    <s v="India "/>
    <x v="0"/>
    <x v="0"/>
    <s v="81 31 08"/>
    <s v="liam.bailey@gmail.com"/>
    <x v="0"/>
    <x v="464"/>
    <x v="22"/>
    <d v="2020-01-04T00:00:00"/>
    <x v="6"/>
    <n v="66989"/>
    <x v="0"/>
  </r>
  <r>
    <n v="15746"/>
    <s v="Blake"/>
    <s v="Skinner"/>
    <s v="India "/>
    <x v="2"/>
    <x v="2"/>
    <s v="38 84 21"/>
    <s v="blake.skinner@gmail.com"/>
    <x v="2"/>
    <x v="465"/>
    <x v="22"/>
    <d v="2020-01-03T00:00:00"/>
    <x v="3"/>
    <n v="57999"/>
    <x v="0"/>
  </r>
  <r>
    <n v="22456"/>
    <s v="Julian"/>
    <s v="Wright"/>
    <s v="India "/>
    <x v="3"/>
    <x v="3"/>
    <s v="11 00 07"/>
    <s v="julian.wright@gmail.com"/>
    <x v="4"/>
    <x v="427"/>
    <x v="52"/>
    <d v="2020-01-18T00:00:00"/>
    <x v="0"/>
    <n v="38980"/>
    <x v="0"/>
  </r>
  <r>
    <n v="23896"/>
    <s v="Vanessa"/>
    <s v="Oliver"/>
    <s v="India "/>
    <x v="0"/>
    <x v="0"/>
    <s v="81 31 08"/>
    <s v="vanessa.oliver@gmail.com"/>
    <x v="0"/>
    <x v="136"/>
    <x v="35"/>
    <d v="2020-01-05T00:00:00"/>
    <x v="5"/>
    <n v="66989"/>
    <x v="0"/>
  </r>
  <r>
    <n v="17265"/>
    <s v="Ryan"/>
    <s v="Simpson"/>
    <s v="India "/>
    <x v="3"/>
    <x v="3"/>
    <s v="11 00 07"/>
    <s v="ryan.simpson@gmail.com"/>
    <x v="1"/>
    <x v="466"/>
    <x v="35"/>
    <d v="2020-01-10T00:00:00"/>
    <x v="2"/>
    <n v="34690"/>
    <x v="0"/>
  </r>
  <r>
    <n v="19651"/>
    <s v="Owen"/>
    <s v="Welch"/>
    <s v="India "/>
    <x v="0"/>
    <x v="0"/>
    <s v="81 31 08"/>
    <s v="owen.welch@gmail.com"/>
    <x v="0"/>
    <x v="467"/>
    <x v="35"/>
    <d v="2020-01-07T00:00:00"/>
    <x v="0"/>
    <n v="66989"/>
    <x v="0"/>
  </r>
  <r>
    <n v="24650"/>
    <s v="Benjamin"/>
    <s v="Paige"/>
    <s v="India "/>
    <x v="1"/>
    <x v="1"/>
    <s v="60 50 01"/>
    <s v="benjamin.paige@gmail.com"/>
    <x v="1"/>
    <x v="468"/>
    <x v="53"/>
    <d v="2020-04-15T00:00:00"/>
    <x v="2"/>
    <n v="34690"/>
    <x v="0"/>
  </r>
  <r>
    <n v="25533"/>
    <s v="Dan"/>
    <s v="Carr"/>
    <s v="India "/>
    <x v="0"/>
    <x v="0"/>
    <s v="81 31 08"/>
    <s v="dan.carr@gmail.com"/>
    <x v="2"/>
    <x v="469"/>
    <x v="54"/>
    <d v="2020-02-21T00:00:00"/>
    <x v="9"/>
    <n v="57999"/>
    <x v="0"/>
  </r>
  <r>
    <n v="19944"/>
    <s v="Joanne"/>
    <s v="Alsop"/>
    <s v="India "/>
    <x v="2"/>
    <x v="2"/>
    <s v="38 84 21"/>
    <s v="joanne.alsop@gmail.com"/>
    <x v="3"/>
    <x v="153"/>
    <x v="55"/>
    <d v="2020-05-23T00:00:00"/>
    <x v="9"/>
    <n v="36990"/>
    <x v="0"/>
  </r>
  <r>
    <n v="19940"/>
    <s v="Tracey"/>
    <s v="Ball"/>
    <s v="India "/>
    <x v="0"/>
    <x v="0"/>
    <s v="81 31 08"/>
    <s v="tracey.ball@gmail.com"/>
    <x v="4"/>
    <x v="62"/>
    <x v="54"/>
    <d v="2020-02-21T00:00:00"/>
    <x v="0"/>
    <n v="38980"/>
    <x v="0"/>
  </r>
  <r>
    <n v="21350"/>
    <s v="Liam"/>
    <s v="Baker"/>
    <s v="India "/>
    <x v="1"/>
    <x v="1"/>
    <s v="60 50 01"/>
    <s v="liam.baker@gmail.com"/>
    <x v="0"/>
    <x v="470"/>
    <x v="55"/>
    <d v="2020-05-22T00:00:00"/>
    <x v="7"/>
    <n v="66989"/>
    <x v="0"/>
  </r>
  <r>
    <n v="24231"/>
    <s v="Stephanie"/>
    <s v="Russell"/>
    <s v="India "/>
    <x v="0"/>
    <x v="0"/>
    <s v="81 31 08"/>
    <s v="stephanie.russell@gmail.com"/>
    <x v="2"/>
    <x v="166"/>
    <x v="55"/>
    <d v="2020-05-23T00:00:00"/>
    <x v="7"/>
    <n v="57999"/>
    <x v="0"/>
  </r>
  <r>
    <n v="21528"/>
    <s v="Matt"/>
    <s v="Wilkins"/>
    <s v="India "/>
    <x v="2"/>
    <x v="2"/>
    <s v="38 84 21"/>
    <s v="matt.wilkins@gmail.com"/>
    <x v="4"/>
    <x v="471"/>
    <x v="6"/>
    <d v="2020-02-13T00:00:00"/>
    <x v="0"/>
    <n v="38980"/>
    <x v="0"/>
  </r>
  <r>
    <n v="15891"/>
    <s v="Wanda"/>
    <s v="White"/>
    <s v="India "/>
    <x v="2"/>
    <x v="2"/>
    <s v="38 84 21"/>
    <s v="wanda.white@gmail.com"/>
    <x v="0"/>
    <x v="457"/>
    <x v="6"/>
    <d v="2020-02-15T00:00:00"/>
    <x v="0"/>
    <n v="66989"/>
    <x v="0"/>
  </r>
  <r>
    <n v="16483"/>
    <s v="Trevor"/>
    <s v="Jackson"/>
    <s v="India "/>
    <x v="2"/>
    <x v="2"/>
    <s v="38 84 21"/>
    <s v="trevor.jackson@gmail.com"/>
    <x v="1"/>
    <x v="472"/>
    <x v="37"/>
    <d v="2020-04-11T00:00:00"/>
    <x v="7"/>
    <n v="34690"/>
    <x v="0"/>
  </r>
  <r>
    <n v="14754"/>
    <s v="Faith"/>
    <s v="Tucker"/>
    <s v="India "/>
    <x v="2"/>
    <x v="2"/>
    <s v="38 84 21"/>
    <s v="faith.tucker@gmail.com"/>
    <x v="3"/>
    <x v="473"/>
    <x v="37"/>
    <d v="2020-04-09T00:00:00"/>
    <x v="8"/>
    <n v="36990"/>
    <x v="0"/>
  </r>
  <r>
    <n v="21693"/>
    <s v="Ruth"/>
    <s v="Miller"/>
    <s v="India "/>
    <x v="3"/>
    <x v="3"/>
    <s v="11 00 07"/>
    <s v="ruth.miller@gmail.com"/>
    <x v="0"/>
    <x v="281"/>
    <x v="37"/>
    <d v="2020-04-10T00:00:00"/>
    <x v="6"/>
    <n v="66989"/>
    <x v="0"/>
  </r>
  <r>
    <n v="15346"/>
    <s v="Ryan"/>
    <s v="Poole"/>
    <s v="India "/>
    <x v="0"/>
    <x v="0"/>
    <s v="81 31 08"/>
    <s v="ryan.poole@gmail.com"/>
    <x v="4"/>
    <x v="474"/>
    <x v="35"/>
    <d v="2020-01-05T00:00:00"/>
    <x v="4"/>
    <n v="38980"/>
    <x v="0"/>
  </r>
  <r>
    <n v="22330"/>
    <s v="Phil"/>
    <s v="Rees"/>
    <s v="India "/>
    <x v="1"/>
    <x v="1"/>
    <s v="60 50 01"/>
    <s v="phil.rees@gmail.com"/>
    <x v="2"/>
    <x v="475"/>
    <x v="25"/>
    <d v="2020-04-01T00:00:00"/>
    <x v="3"/>
    <n v="57999"/>
    <x v="0"/>
  </r>
  <r>
    <n v="14177"/>
    <s v="Fiona"/>
    <s v="Hudson"/>
    <s v="India "/>
    <x v="0"/>
    <x v="0"/>
    <s v="81 31 08"/>
    <s v="fiona.hudson@gmail.com"/>
    <x v="3"/>
    <x v="476"/>
    <x v="56"/>
    <d v="2020-01-11T00:00:00"/>
    <x v="8"/>
    <n v="36990"/>
    <x v="0"/>
  </r>
  <r>
    <n v="22689"/>
    <s v="Julian"/>
    <s v="Bell"/>
    <s v="India "/>
    <x v="2"/>
    <x v="2"/>
    <s v="38 84 21"/>
    <s v="julian.bell@gmail.com"/>
    <x v="4"/>
    <x v="273"/>
    <x v="25"/>
    <d v="2020-04-01T00:00:00"/>
    <x v="8"/>
    <n v="38980"/>
    <x v="0"/>
  </r>
  <r>
    <n v="21851"/>
    <s v="John"/>
    <s v="Watson"/>
    <s v="India "/>
    <x v="2"/>
    <x v="2"/>
    <s v="38 84 21"/>
    <s v="john.watson@gmail.com"/>
    <x v="0"/>
    <x v="477"/>
    <x v="57"/>
    <d v="2020-04-04T00:00:00"/>
    <x v="2"/>
    <n v="66989"/>
    <x v="0"/>
  </r>
  <r>
    <n v="18530"/>
    <s v="Mary"/>
    <s v="Scott"/>
    <s v="India "/>
    <x v="3"/>
    <x v="3"/>
    <s v="11 00 07"/>
    <s v="mary.scott@gmail.com"/>
    <x v="2"/>
    <x v="478"/>
    <x v="57"/>
    <d v="2020-04-04T00:00:00"/>
    <x v="9"/>
    <n v="57999"/>
    <x v="0"/>
  </r>
  <r>
    <n v="22417"/>
    <s v="Jasmine"/>
    <s v="Springer"/>
    <s v="India "/>
    <x v="0"/>
    <x v="0"/>
    <s v="81 31 08"/>
    <s v="jasmine.springer@gmail.com"/>
    <x v="4"/>
    <x v="479"/>
    <x v="58"/>
    <d v="2020-04-28T00:00:00"/>
    <x v="0"/>
    <n v="38980"/>
    <x v="0"/>
  </r>
  <r>
    <n v="21259"/>
    <s v="Isaac"/>
    <s v="Welch"/>
    <s v="India "/>
    <x v="1"/>
    <x v="1"/>
    <s v="60 50 01"/>
    <s v="isaac.welch@gmail.com"/>
    <x v="0"/>
    <x v="480"/>
    <x v="59"/>
    <d v="2020-01-18T00:00:00"/>
    <x v="6"/>
    <n v="66989"/>
    <x v="0"/>
  </r>
  <r>
    <n v="22758"/>
    <s v="Sally"/>
    <s v="Peters"/>
    <s v="India "/>
    <x v="0"/>
    <x v="0"/>
    <s v="81 31 08"/>
    <s v="sally.peters@gmail.com"/>
    <x v="1"/>
    <x v="296"/>
    <x v="60"/>
    <d v="2020-01-21T00:00:00"/>
    <x v="2"/>
    <n v="34690"/>
    <x v="0"/>
  </r>
  <r>
    <n v="20672"/>
    <s v="Lillian"/>
    <s v="Burgess"/>
    <s v="India "/>
    <x v="2"/>
    <x v="2"/>
    <s v="38 84 21"/>
    <s v="lillian.burgess@gmail.com"/>
    <x v="2"/>
    <x v="481"/>
    <x v="42"/>
    <d v="2020-06-02T00:00:00"/>
    <x v="8"/>
    <n v="57999"/>
    <x v="0"/>
  </r>
  <r>
    <n v="15363"/>
    <s v="Sue"/>
    <s v="Black"/>
    <s v="India "/>
    <x v="2"/>
    <x v="2"/>
    <s v="38 84 21"/>
    <s v="sue.black@gmail.com"/>
    <x v="3"/>
    <x v="482"/>
    <x v="42"/>
    <d v="2020-06-02T00:00:00"/>
    <x v="1"/>
    <n v="36990"/>
    <x v="0"/>
  </r>
  <r>
    <n v="17457"/>
    <s v="Thomas"/>
    <s v="Lewis"/>
    <s v="India "/>
    <x v="2"/>
    <x v="2"/>
    <s v="38 84 21"/>
    <s v="thomas.lewis@gmail.com"/>
    <x v="4"/>
    <x v="483"/>
    <x v="3"/>
    <d v="2020-05-13T00:00:00"/>
    <x v="0"/>
    <n v="38980"/>
    <x v="0"/>
  </r>
  <r>
    <n v="16145"/>
    <s v="Joshua"/>
    <s v="Hodges"/>
    <s v="India "/>
    <x v="2"/>
    <x v="2"/>
    <s v="38 84 21"/>
    <s v="joshua.hodges@gmail.com"/>
    <x v="0"/>
    <x v="484"/>
    <x v="4"/>
    <d v="2020-04-09T00:00:00"/>
    <x v="5"/>
    <n v="66989"/>
    <x v="0"/>
  </r>
  <r>
    <n v="25414"/>
    <s v="Sam"/>
    <s v="Lyman"/>
    <s v="India "/>
    <x v="3"/>
    <x v="3"/>
    <s v="11 00 07"/>
    <s v="sam.lyman@gmail.com"/>
    <x v="2"/>
    <x v="330"/>
    <x v="5"/>
    <d v="2020-05-28T00:00:00"/>
    <x v="8"/>
    <n v="57999"/>
    <x v="0"/>
  </r>
  <r>
    <n v="17513"/>
    <s v="Sally"/>
    <s v="Knox"/>
    <s v="India "/>
    <x v="0"/>
    <x v="0"/>
    <s v="81 31 08"/>
    <s v="sally.knox@gmail.com"/>
    <x v="3"/>
    <x v="331"/>
    <x v="6"/>
    <d v="2020-02-15T00:00:00"/>
    <x v="1"/>
    <n v="36990"/>
    <x v="0"/>
  </r>
  <r>
    <n v="24034"/>
    <s v="Anthony"/>
    <s v="Baker"/>
    <s v="India "/>
    <x v="1"/>
    <x v="1"/>
    <s v="60 50 01"/>
    <s v="anthony.baker@gmail.com"/>
    <x v="4"/>
    <x v="485"/>
    <x v="6"/>
    <d v="2020-02-14T00:00:00"/>
    <x v="3"/>
    <n v="38980"/>
    <x v="0"/>
  </r>
  <r>
    <n v="25313"/>
    <s v="Max"/>
    <s v="Underwood"/>
    <s v="India "/>
    <x v="0"/>
    <x v="0"/>
    <s v="81 31 08"/>
    <s v="max.underwood@gmail.com"/>
    <x v="0"/>
    <x v="486"/>
    <x v="7"/>
    <d v="2020-05-16T00:00:00"/>
    <x v="0"/>
    <n v="66989"/>
    <x v="0"/>
  </r>
  <r>
    <n v="25257"/>
    <s v="Robert"/>
    <s v="Payne"/>
    <s v="India "/>
    <x v="2"/>
    <x v="2"/>
    <s v="38 84 21"/>
    <s v="robert.payne@gmail.com"/>
    <x v="2"/>
    <x v="487"/>
    <x v="8"/>
    <d v="2020-05-23T00:00:00"/>
    <x v="3"/>
    <n v="57999"/>
    <x v="0"/>
  </r>
  <r>
    <n v="22288"/>
    <s v="Penelope"/>
    <s v="Welch"/>
    <s v="India "/>
    <x v="2"/>
    <x v="2"/>
    <s v="38 84 21"/>
    <s v="penelope.welch@gmail.com"/>
    <x v="4"/>
    <x v="198"/>
    <x v="7"/>
    <d v="2020-05-16T00:00:00"/>
    <x v="5"/>
    <n v="38980"/>
    <x v="0"/>
  </r>
  <r>
    <n v="17019"/>
    <s v="Sally"/>
    <s v="Ball"/>
    <s v="India "/>
    <x v="2"/>
    <x v="2"/>
    <s v="38 84 21"/>
    <s v="sally.ball@gmail.com"/>
    <x v="0"/>
    <x v="162"/>
    <x v="8"/>
    <d v="2020-05-22T00:00:00"/>
    <x v="1"/>
    <n v="66989"/>
    <x v="0"/>
  </r>
  <r>
    <n v="24832"/>
    <s v="Virginia"/>
    <s v="Jackson"/>
    <s v="India "/>
    <x v="3"/>
    <x v="3"/>
    <s v="11 00 07"/>
    <s v="virginia.jackson@gmail.com"/>
    <x v="1"/>
    <x v="352"/>
    <x v="8"/>
    <d v="2020-05-23T00:00:00"/>
    <x v="9"/>
    <n v="34690"/>
    <x v="0"/>
  </r>
  <r>
    <n v="20756"/>
    <s v="Emily"/>
    <s v="Hill"/>
    <s v="India "/>
    <x v="2"/>
    <x v="2"/>
    <s v="38 84 21"/>
    <s v="emily.hill@gmail.com"/>
    <x v="3"/>
    <x v="488"/>
    <x v="9"/>
    <d v="2020-01-29T00:00:00"/>
    <x v="8"/>
    <n v="36990"/>
    <x v="0"/>
  </r>
  <r>
    <n v="24723"/>
    <s v="Carolyn"/>
    <s v="Ferguson"/>
    <s v="India "/>
    <x v="2"/>
    <x v="2"/>
    <s v="38 84 21"/>
    <s v="carolyn.ferguson@gmail.com"/>
    <x v="0"/>
    <x v="216"/>
    <x v="9"/>
    <d v="2020-01-30T00:00:00"/>
    <x v="1"/>
    <n v="66989"/>
    <x v="0"/>
  </r>
  <r>
    <n v="24643"/>
    <s v="Trevor"/>
    <s v="Welch"/>
    <s v="India "/>
    <x v="3"/>
    <x v="3"/>
    <s v="11 00 07"/>
    <s v="trevor.welch@gmail.com"/>
    <x v="4"/>
    <x v="489"/>
    <x v="10"/>
    <d v="2020-05-04T00:00:00"/>
    <x v="7"/>
    <n v="38980"/>
    <x v="0"/>
  </r>
  <r>
    <n v="16980"/>
    <s v="Neil"/>
    <s v="Powell"/>
    <s v="India "/>
    <x v="3"/>
    <x v="3"/>
    <s v="11 00 07"/>
    <s v="neil.powell@gmail.com"/>
    <x v="2"/>
    <x v="94"/>
    <x v="11"/>
    <d v="2020-02-23T00:00:00"/>
    <x v="2"/>
    <n v="57999"/>
    <x v="0"/>
  </r>
  <r>
    <n v="24692"/>
    <s v="Adrian"/>
    <s v="Carr"/>
    <s v="India "/>
    <x v="0"/>
    <x v="0"/>
    <s v="81 31 08"/>
    <s v="adrian.carr@gmail.com"/>
    <x v="3"/>
    <x v="490"/>
    <x v="12"/>
    <d v="2020-03-28T00:00:00"/>
    <x v="2"/>
    <n v="36990"/>
    <x v="0"/>
  </r>
  <r>
    <n v="15122"/>
    <s v="Leonard"/>
    <s v="Wilkins"/>
    <s v="India "/>
    <x v="1"/>
    <x v="1"/>
    <s v="60 50 01"/>
    <s v="leonard.wilkins@gmail.com"/>
    <x v="4"/>
    <x v="315"/>
    <x v="13"/>
    <d v="2020-01-22T00:00:00"/>
    <x v="3"/>
    <n v="38980"/>
    <x v="0"/>
  </r>
  <r>
    <n v="13649"/>
    <s v="Felicity"/>
    <s v="McDonald"/>
    <s v="India "/>
    <x v="0"/>
    <x v="0"/>
    <s v="81 31 08"/>
    <s v="felicity.mcdonald@gmail.com"/>
    <x v="0"/>
    <x v="293"/>
    <x v="14"/>
    <d v="2020-03-19T00:00:00"/>
    <x v="5"/>
    <n v="66989"/>
    <x v="0"/>
  </r>
  <r>
    <n v="18500"/>
    <s v="Ryan"/>
    <s v="Mathis"/>
    <s v="India "/>
    <x v="2"/>
    <x v="2"/>
    <s v="38 84 21"/>
    <s v="ryan.mathis@gmail.com"/>
    <x v="2"/>
    <x v="491"/>
    <x v="15"/>
    <d v="2020-06-17T00:00:00"/>
    <x v="8"/>
    <n v="57999"/>
    <x v="0"/>
  </r>
  <r>
    <n v="13229"/>
    <s v="Donna"/>
    <s v="Clarkson"/>
    <s v="India "/>
    <x v="2"/>
    <x v="2"/>
    <s v="38 84 21"/>
    <s v="donna.clarkson@gmail.com"/>
    <x v="4"/>
    <x v="492"/>
    <x v="15"/>
    <d v="2020-06-16T00:00:00"/>
    <x v="9"/>
    <n v="38980"/>
    <x v="0"/>
  </r>
  <r>
    <n v="23996"/>
    <s v="Joe"/>
    <s v="Knox"/>
    <s v="India "/>
    <x v="3"/>
    <x v="3"/>
    <s v="11 00 07"/>
    <s v="joe.knox@gmail.com"/>
    <x v="0"/>
    <x v="493"/>
    <x v="16"/>
    <d v="2020-05-11T00:00:00"/>
    <x v="5"/>
    <n v="66989"/>
    <x v="0"/>
  </r>
  <r>
    <n v="19552"/>
    <s v="Blake"/>
    <s v="Manning"/>
    <s v="India "/>
    <x v="0"/>
    <x v="0"/>
    <s v="81 31 08"/>
    <s v="blake.manning@gmail.com"/>
    <x v="1"/>
    <x v="38"/>
    <x v="17"/>
    <d v="2020-03-10T00:00:00"/>
    <x v="6"/>
    <n v="34690"/>
    <x v="0"/>
  </r>
  <r>
    <n v="18140"/>
    <s v="Bernadette"/>
    <s v="McGrath"/>
    <s v="India "/>
    <x v="1"/>
    <x v="1"/>
    <s v="60 50 01"/>
    <s v="bernadette.mcgrath@gmail.com"/>
    <x v="2"/>
    <x v="114"/>
    <x v="9"/>
    <d v="2020-01-30T00:00:00"/>
    <x v="9"/>
    <n v="57999"/>
    <x v="0"/>
  </r>
  <r>
    <n v="15643"/>
    <s v="William"/>
    <s v="Paterson"/>
    <s v="India "/>
    <x v="0"/>
    <x v="0"/>
    <s v="81 31 08"/>
    <s v="william.paterson@gmail.com"/>
    <x v="3"/>
    <x v="494"/>
    <x v="17"/>
    <d v="2020-03-11T00:00:00"/>
    <x v="0"/>
    <n v="36990"/>
    <x v="0"/>
  </r>
  <r>
    <n v="25425"/>
    <s v="Una"/>
    <s v="Lawrence"/>
    <s v="India "/>
    <x v="2"/>
    <x v="2"/>
    <s v="38 84 21"/>
    <s v="una.lawrence@gmail.com"/>
    <x v="4"/>
    <x v="495"/>
    <x v="18"/>
    <d v="2020-04-21T00:00:00"/>
    <x v="1"/>
    <n v="38980"/>
    <x v="0"/>
  </r>
  <r>
    <n v="22781"/>
    <s v="Gavin"/>
    <s v="Dyer"/>
    <s v="India "/>
    <x v="2"/>
    <x v="2"/>
    <s v="38 84 21"/>
    <s v="gavin.dyer@gmail.com"/>
    <x v="0"/>
    <x v="166"/>
    <x v="18"/>
    <d v="2020-04-21T00:00:00"/>
    <x v="4"/>
    <n v="66989"/>
    <x v="0"/>
  </r>
  <r>
    <n v="16269"/>
    <s v="Wanda"/>
    <s v="Arnold"/>
    <s v="India "/>
    <x v="3"/>
    <x v="3"/>
    <s v="11 00 07"/>
    <s v="wanda.arnold@gmail.com"/>
    <x v="2"/>
    <x v="312"/>
    <x v="19"/>
    <d v="2020-05-11T00:00:00"/>
    <x v="2"/>
    <n v="57999"/>
    <x v="0"/>
  </r>
  <r>
    <n v="17932"/>
    <s v="William"/>
    <s v="Abraham"/>
    <s v="India "/>
    <x v="0"/>
    <x v="0"/>
    <s v="81 31 08"/>
    <s v="william.abraham@gmail.com"/>
    <x v="4"/>
    <x v="496"/>
    <x v="20"/>
    <d v="2020-06-14T00:00:00"/>
    <x v="8"/>
    <n v="38980"/>
    <x v="0"/>
  </r>
  <r>
    <n v="16491"/>
    <s v="Audrey"/>
    <s v="Jones"/>
    <s v="India "/>
    <x v="3"/>
    <x v="3"/>
    <s v="11 00 07"/>
    <s v="audrey.jones@gmail.com"/>
    <x v="0"/>
    <x v="404"/>
    <x v="21"/>
    <d v="2020-03-04T00:00:00"/>
    <x v="2"/>
    <n v="66989"/>
    <x v="0"/>
  </r>
  <r>
    <n v="16980"/>
    <s v="Trevor"/>
    <s v="Randall"/>
    <s v="India "/>
    <x v="0"/>
    <x v="0"/>
    <s v="81 31 08"/>
    <s v="trevor.randall@gmail.com"/>
    <x v="1"/>
    <x v="497"/>
    <x v="21"/>
    <d v="2020-03-02T00:00:00"/>
    <x v="8"/>
    <n v="34690"/>
    <x v="0"/>
  </r>
  <r>
    <n v="22363"/>
    <s v="Owen"/>
    <s v="Hughes"/>
    <s v="India "/>
    <x v="1"/>
    <x v="1"/>
    <s v="60 50 01"/>
    <s v="owen.hughes@gmail.com"/>
    <x v="3"/>
    <x v="450"/>
    <x v="22"/>
    <d v="2020-01-09T00:00:00"/>
    <x v="3"/>
    <n v="36990"/>
    <x v="0"/>
  </r>
  <r>
    <n v="21118"/>
    <s v="Gavin"/>
    <s v="Newman"/>
    <s v="India "/>
    <x v="0"/>
    <x v="0"/>
    <s v="81 31 08"/>
    <s v="gavin.newman@gmail.com"/>
    <x v="0"/>
    <x v="52"/>
    <x v="22"/>
    <d v="2020-01-02T00:00:00"/>
    <x v="0"/>
    <n v="66989"/>
    <x v="0"/>
  </r>
  <r>
    <n v="17858"/>
    <s v="Joan"/>
    <s v="Parr"/>
    <s v="India "/>
    <x v="2"/>
    <x v="2"/>
    <s v="38 84 21"/>
    <s v="joan.parr@gmail.com"/>
    <x v="4"/>
    <x v="473"/>
    <x v="22"/>
    <d v="2020-01-04T00:00:00"/>
    <x v="2"/>
    <n v="38980"/>
    <x v="0"/>
  </r>
  <r>
    <n v="14382"/>
    <s v="Peter"/>
    <s v="Ellison"/>
    <s v="India "/>
    <x v="0"/>
    <x v="0"/>
    <s v="81 31 08"/>
    <s v="peter.ellison@gmail.com"/>
    <x v="2"/>
    <x v="498"/>
    <x v="22"/>
    <d v="2020-01-09T00:00:00"/>
    <x v="2"/>
    <n v="57999"/>
    <x v="0"/>
  </r>
  <r>
    <n v="21441"/>
    <s v="Emma"/>
    <s v="Henderson"/>
    <s v="India "/>
    <x v="1"/>
    <x v="1"/>
    <s v="60 50 01"/>
    <s v="emma.henderson@gmail.com"/>
    <x v="3"/>
    <x v="499"/>
    <x v="23"/>
    <d v="2020-02-04T00:00:00"/>
    <x v="7"/>
    <n v="36990"/>
    <x v="0"/>
  </r>
  <r>
    <n v="25398"/>
    <s v="Diane"/>
    <s v="Rees"/>
    <s v="India "/>
    <x v="0"/>
    <x v="0"/>
    <s v="81 31 08"/>
    <s v="diane.rees@gmail.com"/>
    <x v="4"/>
    <x v="500"/>
    <x v="23"/>
    <d v="2020-02-04T00:00:00"/>
    <x v="0"/>
    <n v="38980"/>
    <x v="0"/>
  </r>
  <r>
    <n v="18080"/>
    <s v="Maria"/>
    <s v="Churchill"/>
    <s v="India "/>
    <x v="2"/>
    <x v="2"/>
    <s v="38 84 21"/>
    <s v="maria.churchill@gmail.com"/>
    <x v="0"/>
    <x v="501"/>
    <x v="24"/>
    <d v="2020-03-15T00:00:00"/>
    <x v="3"/>
    <n v="66989"/>
    <x v="0"/>
  </r>
  <r>
    <n v="23270"/>
    <s v="Sonia"/>
    <s v="Howard"/>
    <s v="India "/>
    <x v="2"/>
    <x v="2"/>
    <s v="38 84 21"/>
    <s v="sonia.howard@gmail.com"/>
    <x v="2"/>
    <x v="29"/>
    <x v="23"/>
    <d v="2020-02-03T00:00:00"/>
    <x v="0"/>
    <n v="57999"/>
    <x v="0"/>
  </r>
  <r>
    <n v="19849"/>
    <s v="Anna"/>
    <s v="Brown"/>
    <s v="India "/>
    <x v="2"/>
    <x v="2"/>
    <s v="38 84 21"/>
    <s v="anna.brown@gmail.com"/>
    <x v="4"/>
    <x v="64"/>
    <x v="25"/>
    <d v="2020-04-02T00:00:00"/>
    <x v="1"/>
    <n v="38980"/>
    <x v="0"/>
  </r>
  <r>
    <n v="17003"/>
    <s v="Una"/>
    <s v="Sutherland"/>
    <s v="India "/>
    <x v="2"/>
    <x v="2"/>
    <s v="38 84 21"/>
    <s v="una.sutherland@gmail.com"/>
    <x v="0"/>
    <x v="337"/>
    <x v="26"/>
    <d v="2020-06-08T00:00:00"/>
    <x v="0"/>
    <n v="66989"/>
    <x v="0"/>
  </r>
  <r>
    <n v="22098"/>
    <s v="Victoria"/>
    <s v="Duncan"/>
    <s v="India "/>
    <x v="3"/>
    <x v="3"/>
    <s v="11 00 07"/>
    <s v="victoria.duncan@gmail.com"/>
    <x v="1"/>
    <x v="502"/>
    <x v="27"/>
    <d v="2020-03-23T00:00:00"/>
    <x v="3"/>
    <n v="34690"/>
    <x v="0"/>
  </r>
  <r>
    <n v="20872"/>
    <s v="Carl"/>
    <s v="Ellison"/>
    <s v="India "/>
    <x v="0"/>
    <x v="0"/>
    <s v="81 31 08"/>
    <s v="carl.ellison@gmail.com"/>
    <x v="0"/>
    <x v="503"/>
    <x v="27"/>
    <d v="2020-03-25T00:00:00"/>
    <x v="5"/>
    <n v="66989"/>
    <x v="0"/>
  </r>
  <r>
    <n v="17696"/>
    <s v="Madeleine"/>
    <s v="Robertson"/>
    <s v="India "/>
    <x v="1"/>
    <x v="1"/>
    <s v="60 50 01"/>
    <s v="madeleine.robertson@gmail.com"/>
    <x v="1"/>
    <x v="174"/>
    <x v="28"/>
    <d v="2020-05-18T00:00:00"/>
    <x v="6"/>
    <n v="34690"/>
    <x v="0"/>
  </r>
  <r>
    <n v="18750"/>
    <s v="Sam"/>
    <s v="Payne"/>
    <s v="India "/>
    <x v="0"/>
    <x v="0"/>
    <s v="81 31 08"/>
    <s v="sam.payne@gmail.com"/>
    <x v="2"/>
    <x v="504"/>
    <x v="29"/>
    <d v="2020-02-20T00:00:00"/>
    <x v="3"/>
    <n v="57999"/>
    <x v="0"/>
  </r>
  <r>
    <n v="22362"/>
    <s v="Audrey"/>
    <s v="Reid"/>
    <s v="India "/>
    <x v="2"/>
    <x v="2"/>
    <s v="38 84 21"/>
    <s v="audrey.reid@gmail.com"/>
    <x v="3"/>
    <x v="505"/>
    <x v="30"/>
    <d v="2020-03-06T00:00:00"/>
    <x v="6"/>
    <n v="36990"/>
    <x v="0"/>
  </r>
  <r>
    <n v="19275"/>
    <s v="Jennifer"/>
    <s v="Greene"/>
    <s v="India "/>
    <x v="2"/>
    <x v="2"/>
    <s v="38 84 21"/>
    <s v="jennifer.greene@gmail.com"/>
    <x v="4"/>
    <x v="16"/>
    <x v="28"/>
    <d v="2020-05-19T00:00:00"/>
    <x v="6"/>
    <n v="38980"/>
    <x v="0"/>
  </r>
  <r>
    <n v="18133"/>
    <s v="Gavin"/>
    <s v="Dickens"/>
    <s v="India "/>
    <x v="3"/>
    <x v="3"/>
    <s v="11 00 07"/>
    <s v="gavin.dickens@gmail.com"/>
    <x v="0"/>
    <x v="287"/>
    <x v="28"/>
    <d v="2020-05-18T00:00:00"/>
    <x v="9"/>
    <n v="66989"/>
    <x v="0"/>
  </r>
  <r>
    <n v="15577"/>
    <s v="Eric"/>
    <s v="Hill"/>
    <s v="India "/>
    <x v="0"/>
    <x v="0"/>
    <s v="81 31 08"/>
    <s v="eric.hill@gmail.com"/>
    <x v="2"/>
    <x v="506"/>
    <x v="31"/>
    <d v="2020-06-09T00:00:00"/>
    <x v="5"/>
    <n v="57999"/>
    <x v="0"/>
  </r>
  <r>
    <n v="15578"/>
    <s v="Connor"/>
    <s v="Morgan"/>
    <s v="India "/>
    <x v="1"/>
    <x v="1"/>
    <s v="60 50 01"/>
    <s v="connor.morgan@gmail.com"/>
    <x v="4"/>
    <x v="507"/>
    <x v="32"/>
    <d v="2020-05-05T00:00:00"/>
    <x v="3"/>
    <n v="3898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BCEF4D-C76A-4816-A8EE-09CA3250F34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8" firstHeaderRow="1" firstDataRow="1" firstDataCol="1"/>
  <pivotFields count="16">
    <pivotField numFmtId="1" showAll="0"/>
    <pivotField showAll="0"/>
    <pivotField showAll="0"/>
    <pivotField showAll="0"/>
    <pivotField axis="axisRow" showAll="0">
      <items count="5">
        <item x="0"/>
        <item x="3"/>
        <item x="1"/>
        <item x="2"/>
        <item t="default"/>
      </items>
    </pivotField>
    <pivotField showAll="0"/>
    <pivotField showAll="0"/>
    <pivotField showAll="0"/>
    <pivotField showAll="0"/>
    <pivotField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dataField="1" numFmtId="1" showAll="0"/>
    <pivotField numFmtId="164" showAll="0"/>
    <pivotField showAll="0">
      <items count="2">
        <item x="0"/>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Unit Sold" fld="12"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2C9DC4-6C14-496B-8762-BD6C7A00157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0" firstHeaderRow="1" firstDataRow="1" firstDataCol="1"/>
  <pivotFields count="16">
    <pivotField numFmtId="1" showAll="0"/>
    <pivotField showAll="0"/>
    <pivotField showAll="0"/>
    <pivotField showAll="0"/>
    <pivotField showAll="0">
      <items count="5">
        <item x="0"/>
        <item x="3"/>
        <item x="1"/>
        <item x="2"/>
        <item t="default"/>
      </items>
    </pivotField>
    <pivotField showAll="0"/>
    <pivotField showAll="0"/>
    <pivotField showAll="0"/>
    <pivotField showAll="0"/>
    <pivotField numFmtId="1"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dataField="1" numFmtId="1" showAll="0"/>
    <pivotField numFmtId="164" showAll="0"/>
    <pivotField showAll="0">
      <items count="2">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5"/>
    <field x="10"/>
  </rowFields>
  <rowItems count="7">
    <i>
      <x v="1"/>
    </i>
    <i>
      <x v="2"/>
    </i>
    <i>
      <x v="3"/>
    </i>
    <i>
      <x v="4"/>
    </i>
    <i>
      <x v="5"/>
    </i>
    <i>
      <x v="6"/>
    </i>
    <i t="grand">
      <x/>
    </i>
  </rowItems>
  <colItems count="1">
    <i/>
  </colItems>
  <dataFields count="1">
    <dataField name="Sum of Unit Sold" fld="12"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E52055-929D-4382-ADA7-DA6029BAA84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8" firstHeaderRow="1" firstDataRow="1" firstDataCol="1"/>
  <pivotFields count="16">
    <pivotField dataField="1" numFmtId="1" showAll="0"/>
    <pivotField showAll="0"/>
    <pivotField showAll="0"/>
    <pivotField showAll="0"/>
    <pivotField showAll="0">
      <items count="5">
        <item x="0"/>
        <item x="3"/>
        <item x="1"/>
        <item x="2"/>
        <item t="default"/>
      </items>
    </pivotField>
    <pivotField axis="axisRow" showAll="0">
      <items count="5">
        <item x="0"/>
        <item x="3"/>
        <item x="2"/>
        <item x="1"/>
        <item t="default"/>
      </items>
    </pivotField>
    <pivotField showAll="0"/>
    <pivotField showAll="0"/>
    <pivotField showAll="0"/>
    <pivotField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 showAll="0"/>
    <pivotField numFmtId="164" showAll="0"/>
    <pivotField showAll="0">
      <items count="2">
        <item x="0"/>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Count of Customer ID" fld="0" subtotal="count" baseField="5" baseItem="0"/>
  </dataFields>
  <chartFormats count="6">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0"/>
          </reference>
        </references>
      </pivotArea>
    </chartFormat>
    <chartFormat chart="4" format="4">
      <pivotArea type="data" outline="0" fieldPosition="0">
        <references count="2">
          <reference field="4294967294" count="1" selected="0">
            <x v="0"/>
          </reference>
          <reference field="5" count="1" selected="0">
            <x v="1"/>
          </reference>
        </references>
      </pivotArea>
    </chartFormat>
    <chartFormat chart="4" format="5">
      <pivotArea type="data" outline="0" fieldPosition="0">
        <references count="2">
          <reference field="4294967294" count="1" selected="0">
            <x v="0"/>
          </reference>
          <reference field="5" count="1" selected="0">
            <x v="2"/>
          </reference>
        </references>
      </pivotArea>
    </chartFormat>
    <chartFormat chart="4" format="6">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AF5E4-497D-49C2-B474-AF9AA4C1732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9" firstHeaderRow="1" firstDataRow="1" firstDataCol="1"/>
  <pivotFields count="16">
    <pivotField numFmtId="1" showAll="0"/>
    <pivotField showAll="0"/>
    <pivotField showAll="0"/>
    <pivotField showAll="0"/>
    <pivotField showAll="0">
      <items count="5">
        <item x="0"/>
        <item x="3"/>
        <item x="1"/>
        <item x="2"/>
        <item t="default"/>
      </items>
    </pivotField>
    <pivotField showAll="0">
      <items count="5">
        <item x="0"/>
        <item x="3"/>
        <item x="2"/>
        <item x="1"/>
        <item t="default"/>
      </items>
    </pivotField>
    <pivotField showAll="0"/>
    <pivotField showAll="0"/>
    <pivotField axis="axisRow" showAll="0">
      <items count="6">
        <item x="4"/>
        <item x="0"/>
        <item x="1"/>
        <item x="2"/>
        <item x="3"/>
        <item t="default"/>
      </items>
    </pivotField>
    <pivotField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dataField="1" numFmtId="1" showAll="0"/>
    <pivotField numFmtId="164" showAll="0"/>
    <pivotField showAll="0">
      <items count="2">
        <item x="0"/>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Items count="1">
    <i/>
  </colItems>
  <dataFields count="1">
    <dataField name="Sum of Unit Sold" fld="12" baseField="0" baseItem="0"/>
  </dataFields>
  <chartFormats count="12">
    <chartFormat chart="0" format="2"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8" count="1" selected="0">
            <x v="0"/>
          </reference>
        </references>
      </pivotArea>
    </chartFormat>
    <chartFormat chart="3" format="11">
      <pivotArea type="data" outline="0" fieldPosition="0">
        <references count="2">
          <reference field="4294967294" count="1" selected="0">
            <x v="0"/>
          </reference>
          <reference field="8" count="1" selected="0">
            <x v="1"/>
          </reference>
        </references>
      </pivotArea>
    </chartFormat>
    <chartFormat chart="3" format="12">
      <pivotArea type="data" outline="0" fieldPosition="0">
        <references count="2">
          <reference field="4294967294" count="1" selected="0">
            <x v="0"/>
          </reference>
          <reference field="8" count="1" selected="0">
            <x v="2"/>
          </reference>
        </references>
      </pivotArea>
    </chartFormat>
    <chartFormat chart="3" format="13">
      <pivotArea type="data" outline="0" fieldPosition="0">
        <references count="2">
          <reference field="4294967294" count="1" selected="0">
            <x v="0"/>
          </reference>
          <reference field="8" count="1" selected="0">
            <x v="3"/>
          </reference>
        </references>
      </pivotArea>
    </chartFormat>
    <chartFormat chart="3" format="14">
      <pivotArea type="data" outline="0" fieldPosition="0">
        <references count="2">
          <reference field="4294967294" count="1" selected="0">
            <x v="0"/>
          </reference>
          <reference field="8" count="1" selected="0">
            <x v="4"/>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0" format="5">
      <pivotArea type="data" outline="0" fieldPosition="0">
        <references count="2">
          <reference field="4294967294" count="1" selected="0">
            <x v="0"/>
          </reference>
          <reference field="8" count="1" selected="0">
            <x v="2"/>
          </reference>
        </references>
      </pivotArea>
    </chartFormat>
    <chartFormat chart="0" format="6">
      <pivotArea type="data" outline="0" fieldPosition="0">
        <references count="2">
          <reference field="4294967294" count="1" selected="0">
            <x v="0"/>
          </reference>
          <reference field="8" count="1" selected="0">
            <x v="3"/>
          </reference>
        </references>
      </pivotArea>
    </chartFormat>
    <chartFormat chart="0" format="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72172F-FB02-4B07-BDF2-9017685B94E9}"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9" firstHeaderRow="1" firstDataRow="1" firstDataCol="1"/>
  <pivotFields count="16">
    <pivotField numFmtId="1" showAll="0"/>
    <pivotField showAll="0"/>
    <pivotField showAll="0"/>
    <pivotField showAll="0"/>
    <pivotField showAll="0">
      <items count="5">
        <item x="0"/>
        <item x="3"/>
        <item x="1"/>
        <item x="2"/>
        <item t="default"/>
      </items>
    </pivotField>
    <pivotField showAll="0"/>
    <pivotField showAll="0"/>
    <pivotField showAll="0"/>
    <pivotField axis="axisRow" showAll="0">
      <items count="6">
        <item x="4"/>
        <item x="0"/>
        <item x="1"/>
        <item x="2"/>
        <item x="3"/>
        <item t="default"/>
      </items>
    </pivotField>
    <pivotField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dataField="1" numFmtId="1" showAll="0"/>
    <pivotField numFmtId="164" showAll="0"/>
    <pivotField showAll="0">
      <items count="2">
        <item x="0"/>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Items count="1">
    <i/>
  </colItems>
  <dataFields count="1">
    <dataField name="Sum of Unit Sold" fld="12"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950A2F-D8E0-492D-AF2D-E4506233624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9" firstHeaderRow="0" firstDataRow="1" firstDataCol="1"/>
  <pivotFields count="16">
    <pivotField numFmtId="1" showAll="0"/>
    <pivotField showAll="0"/>
    <pivotField showAll="0"/>
    <pivotField showAll="0"/>
    <pivotField showAll="0">
      <items count="5">
        <item x="0"/>
        <item x="3"/>
        <item x="1"/>
        <item x="2"/>
        <item t="default"/>
      </items>
    </pivotField>
    <pivotField showAll="0"/>
    <pivotField showAll="0"/>
    <pivotField showAll="0"/>
    <pivotField axis="axisRow" showAll="0">
      <items count="6">
        <item x="4"/>
        <item x="0"/>
        <item x="1"/>
        <item x="2"/>
        <item x="3"/>
        <item t="default"/>
      </items>
    </pivotField>
    <pivotField numFmtId="1" showAll="0">
      <items count="509">
        <item x="103"/>
        <item x="403"/>
        <item x="71"/>
        <item x="334"/>
        <item x="225"/>
        <item x="246"/>
        <item x="48"/>
        <item x="222"/>
        <item x="141"/>
        <item x="450"/>
        <item x="405"/>
        <item x="67"/>
        <item x="203"/>
        <item x="277"/>
        <item x="95"/>
        <item x="192"/>
        <item x="65"/>
        <item x="276"/>
        <item x="127"/>
        <item x="288"/>
        <item x="75"/>
        <item x="44"/>
        <item x="446"/>
        <item x="314"/>
        <item x="456"/>
        <item x="27"/>
        <item x="402"/>
        <item x="21"/>
        <item x="382"/>
        <item x="209"/>
        <item x="421"/>
        <item x="156"/>
        <item x="367"/>
        <item x="307"/>
        <item x="134"/>
        <item x="90"/>
        <item x="434"/>
        <item x="354"/>
        <item x="484"/>
        <item x="37"/>
        <item x="171"/>
        <item x="457"/>
        <item x="10"/>
        <item x="93"/>
        <item x="18"/>
        <item x="176"/>
        <item x="266"/>
        <item x="290"/>
        <item x="478"/>
        <item x="385"/>
        <item x="240"/>
        <item x="19"/>
        <item x="142"/>
        <item x="414"/>
        <item x="77"/>
        <item x="139"/>
        <item x="357"/>
        <item x="3"/>
        <item x="190"/>
        <item x="249"/>
        <item x="420"/>
        <item x="259"/>
        <item x="104"/>
        <item x="195"/>
        <item x="470"/>
        <item x="409"/>
        <item x="396"/>
        <item x="313"/>
        <item x="34"/>
        <item x="151"/>
        <item x="491"/>
        <item x="98"/>
        <item x="4"/>
        <item x="242"/>
        <item x="87"/>
        <item x="51"/>
        <item x="229"/>
        <item x="305"/>
        <item x="272"/>
        <item x="328"/>
        <item x="376"/>
        <item x="425"/>
        <item x="25"/>
        <item x="344"/>
        <item x="147"/>
        <item x="43"/>
        <item x="5"/>
        <item x="375"/>
        <item x="128"/>
        <item x="324"/>
        <item x="184"/>
        <item x="207"/>
        <item x="492"/>
        <item x="267"/>
        <item x="501"/>
        <item x="317"/>
        <item x="91"/>
        <item x="86"/>
        <item x="218"/>
        <item x="310"/>
        <item x="186"/>
        <item x="31"/>
        <item x="268"/>
        <item x="389"/>
        <item x="263"/>
        <item x="112"/>
        <item x="20"/>
        <item x="57"/>
        <item x="284"/>
        <item x="150"/>
        <item x="429"/>
        <item x="502"/>
        <item x="460"/>
        <item x="59"/>
        <item x="435"/>
        <item x="353"/>
        <item x="138"/>
        <item x="436"/>
        <item x="262"/>
        <item x="85"/>
        <item x="114"/>
        <item x="482"/>
        <item x="297"/>
        <item x="163"/>
        <item x="483"/>
        <item x="168"/>
        <item x="74"/>
        <item x="311"/>
        <item x="78"/>
        <item x="243"/>
        <item x="291"/>
        <item x="73"/>
        <item x="257"/>
        <item x="473"/>
        <item x="16"/>
        <item x="161"/>
        <item x="462"/>
        <item x="377"/>
        <item x="2"/>
        <item x="438"/>
        <item x="45"/>
        <item x="479"/>
        <item x="181"/>
        <item x="239"/>
        <item x="66"/>
        <item x="467"/>
        <item x="360"/>
        <item x="356"/>
        <item x="129"/>
        <item x="0"/>
        <item x="412"/>
        <item x="306"/>
        <item x="406"/>
        <item x="448"/>
        <item x="178"/>
        <item x="197"/>
        <item x="397"/>
        <item x="119"/>
        <item x="264"/>
        <item x="275"/>
        <item x="208"/>
        <item x="206"/>
        <item x="84"/>
        <item x="162"/>
        <item x="289"/>
        <item x="224"/>
        <item x="370"/>
        <item x="282"/>
        <item x="261"/>
        <item x="155"/>
        <item x="41"/>
        <item x="131"/>
        <item x="366"/>
        <item x="325"/>
        <item x="158"/>
        <item x="504"/>
        <item x="391"/>
        <item x="140"/>
        <item x="123"/>
        <item x="121"/>
        <item x="308"/>
        <item x="265"/>
        <item x="500"/>
        <item x="488"/>
        <item x="321"/>
        <item x="191"/>
        <item x="81"/>
        <item x="428"/>
        <item x="130"/>
        <item x="352"/>
        <item x="454"/>
        <item x="42"/>
        <item x="194"/>
        <item x="330"/>
        <item x="361"/>
        <item x="298"/>
        <item x="476"/>
        <item x="183"/>
        <item x="198"/>
        <item x="329"/>
        <item x="145"/>
        <item x="401"/>
        <item x="172"/>
        <item x="315"/>
        <item x="253"/>
        <item x="358"/>
        <item x="464"/>
        <item x="302"/>
        <item x="490"/>
        <item x="433"/>
        <item x="333"/>
        <item x="60"/>
        <item x="8"/>
        <item x="247"/>
        <item x="205"/>
        <item x="28"/>
        <item x="320"/>
        <item x="274"/>
        <item x="487"/>
        <item x="107"/>
        <item x="232"/>
        <item x="204"/>
        <item x="339"/>
        <item x="278"/>
        <item x="102"/>
        <item x="271"/>
        <item x="384"/>
        <item x="137"/>
        <item x="108"/>
        <item x="231"/>
        <item x="326"/>
        <item x="338"/>
        <item x="423"/>
        <item x="160"/>
        <item x="125"/>
        <item x="15"/>
        <item x="68"/>
        <item x="365"/>
        <item x="56"/>
        <item x="179"/>
        <item x="480"/>
        <item x="368"/>
        <item x="135"/>
        <item x="459"/>
        <item x="455"/>
        <item x="101"/>
        <item x="199"/>
        <item x="170"/>
        <item x="167"/>
        <item x="337"/>
        <item x="426"/>
        <item x="419"/>
        <item x="342"/>
        <item x="1"/>
        <item x="154"/>
        <item x="109"/>
        <item x="395"/>
        <item x="372"/>
        <item x="447"/>
        <item x="371"/>
        <item x="287"/>
        <item x="378"/>
        <item x="340"/>
        <item x="415"/>
        <item x="228"/>
        <item x="220"/>
        <item x="40"/>
        <item x="286"/>
        <item x="99"/>
        <item x="270"/>
        <item x="33"/>
        <item x="251"/>
        <item x="392"/>
        <item x="126"/>
        <item x="355"/>
        <item x="283"/>
        <item x="451"/>
        <item x="248"/>
        <item x="256"/>
        <item x="105"/>
        <item x="254"/>
        <item x="120"/>
        <item x="411"/>
        <item x="185"/>
        <item x="323"/>
        <item x="115"/>
        <item x="49"/>
        <item x="14"/>
        <item x="32"/>
        <item x="477"/>
        <item x="174"/>
        <item x="343"/>
        <item x="202"/>
        <item x="374"/>
        <item x="430"/>
        <item x="398"/>
        <item x="89"/>
        <item x="233"/>
        <item x="364"/>
        <item x="92"/>
        <item x="230"/>
        <item x="63"/>
        <item x="213"/>
        <item x="393"/>
        <item x="94"/>
        <item x="351"/>
        <item x="439"/>
        <item x="188"/>
        <item x="221"/>
        <item x="260"/>
        <item x="223"/>
        <item x="236"/>
        <item x="318"/>
        <item x="427"/>
        <item x="474"/>
        <item x="407"/>
        <item x="452"/>
        <item x="69"/>
        <item x="116"/>
        <item x="292"/>
        <item x="117"/>
        <item x="463"/>
        <item x="80"/>
        <item x="173"/>
        <item x="35"/>
        <item x="132"/>
        <item x="169"/>
        <item x="296"/>
        <item x="387"/>
        <item x="177"/>
        <item x="498"/>
        <item x="193"/>
        <item x="255"/>
        <item x="50"/>
        <item x="47"/>
        <item x="46"/>
        <item x="148"/>
        <item x="152"/>
        <item x="442"/>
        <item x="241"/>
        <item x="319"/>
        <item x="431"/>
        <item x="362"/>
        <item x="386"/>
        <item x="496"/>
        <item x="294"/>
        <item x="301"/>
        <item x="349"/>
        <item x="336"/>
        <item x="388"/>
        <item x="345"/>
        <item x="422"/>
        <item x="118"/>
        <item x="165"/>
        <item x="273"/>
        <item x="466"/>
        <item x="299"/>
        <item x="458"/>
        <item x="226"/>
        <item x="468"/>
        <item x="106"/>
        <item x="494"/>
        <item x="332"/>
        <item x="166"/>
        <item x="6"/>
        <item x="359"/>
        <item x="200"/>
        <item x="316"/>
        <item x="281"/>
        <item x="76"/>
        <item x="312"/>
        <item x="489"/>
        <item x="234"/>
        <item x="23"/>
        <item x="453"/>
        <item x="54"/>
        <item x="381"/>
        <item x="300"/>
        <item x="379"/>
        <item x="143"/>
        <item x="175"/>
        <item x="136"/>
        <item x="244"/>
        <item x="399"/>
        <item x="52"/>
        <item x="217"/>
        <item x="196"/>
        <item x="79"/>
        <item x="495"/>
        <item x="216"/>
        <item x="461"/>
        <item x="82"/>
        <item x="373"/>
        <item x="505"/>
        <item x="96"/>
        <item x="341"/>
        <item x="322"/>
        <item x="30"/>
        <item x="58"/>
        <item x="237"/>
        <item x="201"/>
        <item x="26"/>
        <item x="124"/>
        <item x="303"/>
        <item x="122"/>
        <item x="100"/>
        <item x="252"/>
        <item x="486"/>
        <item x="394"/>
        <item x="280"/>
        <item x="449"/>
        <item x="269"/>
        <item x="212"/>
        <item x="347"/>
        <item x="465"/>
        <item x="507"/>
        <item x="64"/>
        <item x="238"/>
        <item x="29"/>
        <item x="424"/>
        <item x="369"/>
        <item x="219"/>
        <item x="258"/>
        <item x="83"/>
        <item x="13"/>
        <item x="493"/>
        <item x="61"/>
        <item x="304"/>
        <item x="144"/>
        <item x="475"/>
        <item x="327"/>
        <item x="39"/>
        <item x="417"/>
        <item x="346"/>
        <item x="309"/>
        <item x="157"/>
        <item x="285"/>
        <item x="503"/>
        <item x="348"/>
        <item x="62"/>
        <item x="55"/>
        <item x="471"/>
        <item x="210"/>
        <item x="380"/>
        <item x="245"/>
        <item x="211"/>
        <item x="335"/>
        <item x="506"/>
        <item x="180"/>
        <item x="110"/>
        <item x="70"/>
        <item x="189"/>
        <item x="72"/>
        <item x="437"/>
        <item x="363"/>
        <item x="350"/>
        <item x="293"/>
        <item x="404"/>
        <item x="88"/>
        <item x="235"/>
        <item x="214"/>
        <item x="481"/>
        <item x="497"/>
        <item x="182"/>
        <item x="133"/>
        <item x="444"/>
        <item x="383"/>
        <item x="24"/>
        <item x="279"/>
        <item x="413"/>
        <item x="250"/>
        <item x="227"/>
        <item x="331"/>
        <item x="469"/>
        <item x="9"/>
        <item x="187"/>
        <item x="472"/>
        <item x="22"/>
        <item x="11"/>
        <item x="164"/>
        <item x="7"/>
        <item x="432"/>
        <item x="390"/>
        <item x="159"/>
        <item x="443"/>
        <item x="111"/>
        <item x="410"/>
        <item x="17"/>
        <item x="53"/>
        <item x="441"/>
        <item x="146"/>
        <item x="113"/>
        <item x="445"/>
        <item x="215"/>
        <item x="416"/>
        <item x="149"/>
        <item x="12"/>
        <item x="499"/>
        <item x="153"/>
        <item x="38"/>
        <item x="418"/>
        <item x="36"/>
        <item x="408"/>
        <item x="485"/>
        <item x="97"/>
        <item x="400"/>
        <item x="295"/>
        <item x="44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dataField="1" numFmtId="1" showAll="0">
      <items count="11">
        <item x="8"/>
        <item x="7"/>
        <item x="6"/>
        <item x="0"/>
        <item x="2"/>
        <item x="4"/>
        <item x="9"/>
        <item x="3"/>
        <item x="1"/>
        <item x="5"/>
        <item t="default"/>
      </items>
    </pivotField>
    <pivotField dataField="1" numFmtId="164" showAll="0"/>
    <pivotField showAll="0">
      <items count="2">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6">
    <i>
      <x/>
    </i>
    <i>
      <x v="1"/>
    </i>
    <i>
      <x v="2"/>
    </i>
    <i>
      <x v="3"/>
    </i>
    <i>
      <x v="4"/>
    </i>
    <i t="grand">
      <x/>
    </i>
  </rowItems>
  <colFields count="1">
    <field x="-2"/>
  </colFields>
  <colItems count="2">
    <i>
      <x/>
    </i>
    <i i="1">
      <x v="1"/>
    </i>
  </colItems>
  <dataFields count="2">
    <dataField name="Sum of Unit Sold" fld="12" baseField="0" baseItem="0"/>
    <dataField name="Average of Sale Price" fld="13" subtotal="average" baseField="8" baseItem="0"/>
  </dataFields>
  <chartFormats count="1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 chart="4" format="7">
      <pivotArea type="data" outline="0" fieldPosition="0">
        <references count="2">
          <reference field="4294967294" count="1" selected="0">
            <x v="0"/>
          </reference>
          <reference field="8" count="1" selected="0">
            <x v="1"/>
          </reference>
        </references>
      </pivotArea>
    </chartFormat>
    <chartFormat chart="4" format="8">
      <pivotArea type="data" outline="0" fieldPosition="0">
        <references count="2">
          <reference field="4294967294" count="1" selected="0">
            <x v="0"/>
          </reference>
          <reference field="8" count="1" selected="0">
            <x v="2"/>
          </reference>
        </references>
      </pivotArea>
    </chartFormat>
    <chartFormat chart="4" format="9">
      <pivotArea type="data" outline="0" fieldPosition="0">
        <references count="2">
          <reference field="4294967294" count="1" selected="0">
            <x v="0"/>
          </reference>
          <reference field="8" count="1" selected="0">
            <x v="3"/>
          </reference>
        </references>
      </pivotArea>
    </chartFormat>
    <chartFormat chart="4" format="10">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99722B-C868-42D2-915F-09296E1EF7B7}"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6">
    <pivotField numFmtId="1" showAll="0"/>
    <pivotField showAll="0"/>
    <pivotField showAll="0"/>
    <pivotField showAll="0"/>
    <pivotField showAll="0">
      <items count="5">
        <item x="0"/>
        <item x="3"/>
        <item x="1"/>
        <item x="2"/>
        <item t="default"/>
      </items>
    </pivotField>
    <pivotField showAll="0"/>
    <pivotField showAll="0"/>
    <pivotField showAll="0"/>
    <pivotField showAll="0"/>
    <pivotField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dataField="1" numFmtId="1" showAll="0"/>
    <pivotField numFmtId="164" showAll="0"/>
    <pivotField showAll="0">
      <items count="2">
        <item x="0"/>
        <item t="default"/>
      </items>
    </pivotField>
    <pivotField showAll="0" defaultSubtotal="0"/>
  </pivotFields>
  <rowItems count="1">
    <i/>
  </rowItems>
  <colItems count="1">
    <i/>
  </colItems>
  <dataFields count="1">
    <dataField name="Sum of Unit Sol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230DA5-CA66-4EFE-ABF2-605FC62123F5}"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16">
    <pivotField numFmtId="1" showAll="0"/>
    <pivotField showAll="0"/>
    <pivotField showAll="0"/>
    <pivotField showAll="0"/>
    <pivotField showAll="0">
      <items count="5">
        <item x="0"/>
        <item x="3"/>
        <item x="1"/>
        <item x="2"/>
        <item t="default"/>
      </items>
    </pivotField>
    <pivotField showAll="0"/>
    <pivotField showAll="0"/>
    <pivotField showAll="0"/>
    <pivotField showAll="0"/>
    <pivotField dataField="1" numFmtI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numFmtId="1" showAll="0"/>
    <pivotField numFmtId="164" showAll="0"/>
    <pivotField showAll="0">
      <items count="2">
        <item x="0"/>
        <item t="default"/>
      </items>
    </pivotField>
    <pivotField showAll="0" defaultSubtotal="0"/>
  </pivotFields>
  <rowItems count="1">
    <i/>
  </rowItems>
  <colItems count="1">
    <i/>
  </colItems>
  <dataFields count="1">
    <dataField name="Count of Order ID" fld="9" subtotal="count" baseField="0" baseItem="210330060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D36D3D3-A586-4D60-9E6B-07D41DE05011}" sourceName="Status">
  <pivotTables>
    <pivotTable tabId="7" name="PivotTable7"/>
    <pivotTable tabId="2" name="PivotTable2"/>
    <pivotTable tabId="11" name="PivotTable8"/>
    <pivotTable tabId="11" name="PivotTable9"/>
    <pivotTable tabId="3" name="PivotTable3"/>
    <pivotTable tabId="4" name="PivotTable4"/>
    <pivotTable tabId="5" name="PivotTable5"/>
    <pivotTable tabId="6" name="PivotTable6"/>
  </pivotTables>
  <data>
    <tabular pivotCacheId="452311139">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A2A2F2-BD96-4C34-B0DD-DD9FC6D0C07B}" sourceName="Region">
  <pivotTables>
    <pivotTable tabId="7" name="PivotTable7"/>
    <pivotTable tabId="2" name="PivotTable2"/>
    <pivotTable tabId="3" name="PivotTable3"/>
    <pivotTable tabId="4" name="PivotTable4"/>
    <pivotTable tabId="5" name="PivotTable5"/>
    <pivotTable tabId="6" name="PivotTable6"/>
    <pivotTable tabId="11" name="PivotTable8"/>
    <pivotTable tabId="11" name="PivotTable9"/>
  </pivotTables>
  <data>
    <tabular pivotCacheId="452311139">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C2D7BBCA-0EB1-4F20-ACDB-078968215800}" cache="Slicer_Status" caption="Status" rowHeight="241300"/>
  <slicer name="Region" xr10:uid="{7E188B86-EE07-4AF2-8375-F6B034CB0915}"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C96F9F5-0CFE-4077-916F-AD74B0517A7E}" cache="Slicer_Region" caption="Region" columnCount="2"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E30682-9896-46E4-A811-D4010C6E8C67}" name="Table1" displayName="Table1" ref="A1:O701" totalsRowShown="0">
  <autoFilter ref="A1:O701" xr:uid="{01E30682-9896-46E4-A811-D4010C6E8C67}"/>
  <tableColumns count="15">
    <tableColumn id="1" xr3:uid="{06976854-6EAC-4ED0-90F9-CD6975A62A07}" name="Customer ID" dataDxfId="14"/>
    <tableColumn id="2" xr3:uid="{974C4AC1-3452-4876-A1DD-27CB4769406F}" name="First Name" dataDxfId="13"/>
    <tableColumn id="3" xr3:uid="{9BFC18A0-B87C-4E65-84EF-B607C6F58B03}" name="Last Name" dataDxfId="12"/>
    <tableColumn id="4" xr3:uid="{D6C58C57-90E6-409F-A479-3836F8731AF8}" name="Country" dataDxfId="11"/>
    <tableColumn id="5" xr3:uid="{914FB1B6-B48F-4BB9-A00D-B76C72EA2DAD}" name="Region" dataDxfId="10"/>
    <tableColumn id="6" xr3:uid="{EA9E1480-DDDA-4482-9C06-7E6153F1A5FF}" name="State" dataDxfId="9"/>
    <tableColumn id="7" xr3:uid="{5233567B-9078-4047-BA80-937933AC90AC}" name="Postal Code" dataDxfId="8"/>
    <tableColumn id="8" xr3:uid="{AF78F874-F59A-451D-A7B4-69E371C2CCEF}" name="Email ID" dataDxfId="7"/>
    <tableColumn id="9" xr3:uid="{6AAD800F-FB56-468F-A259-723C63600842}" name="Product Name" dataDxfId="6"/>
    <tableColumn id="10" xr3:uid="{DBFA6ED4-4D63-42B9-BA03-6CEAAA8B0D2F}" name="Order ID" dataDxfId="5"/>
    <tableColumn id="11" xr3:uid="{66E748D2-2D41-4A09-9315-A6B477F4E159}" name="Order Date" dataDxfId="4"/>
    <tableColumn id="12" xr3:uid="{1C8BBF2E-62D3-45D3-A2C7-D2ACD8B17A3C}" name="Ship Date" dataDxfId="3"/>
    <tableColumn id="13" xr3:uid="{350A840C-F1CD-42E0-9F21-5197F00E19B0}" name="Unit Sold" dataDxfId="2"/>
    <tableColumn id="14" xr3:uid="{6901607E-CA1C-4C3B-A528-2BA52CA5CF02}" name="Sale Price" dataDxfId="1">
      <calculatedColumnFormula array="1">_xlfn.IFS(I2="Dell Inspiron 15",66989,I2="Lenovo IdeaPad Slim 3i",34690,I2="Mi NoteBook Ultra",57999,I2="Samsung Galaxy Go",36990,I2="Acer Aspire 3",38980)</calculatedColumnFormula>
    </tableColumn>
    <tableColumn id="15" xr3:uid="{EC7CEC0C-713C-46D6-9E72-DFC98D1E4AB2}"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AD19DD5-F667-43DA-8F6B-20D5CA5916A6}" sourceName="Order Date">
  <pivotTables>
    <pivotTable tabId="7" name="PivotTable7"/>
    <pivotTable tabId="2" name="PivotTable2"/>
    <pivotTable tabId="11" name="PivotTable8"/>
    <pivotTable tabId="11" name="PivotTable9"/>
    <pivotTable tabId="3" name="PivotTable3"/>
    <pivotTable tabId="4" name="PivotTable4"/>
    <pivotTable tabId="5" name="PivotTable5"/>
    <pivotTable tabId="6" name="PivotTable6"/>
  </pivotTables>
  <state minimalRefreshVersion="6" lastRefreshVersion="6" pivotCacheId="452311139" filterType="unknown">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F4A9840-AEDB-462A-BEF5-D87AE1F52A03}" cache="NativeTimeline_Order_Date" caption="Order Date" showSelectionLabel="0" showTimeLevel="0" showHorizontalScrollbar="0" level="2" selectionLevel="2" scrollPosition="2020-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C7BDE73-47E5-4C52-8085-9266A0D34B17}" cache="NativeTimeline_Order_Date" caption="Order Date" showSelectionLabel="0" showTimeLevel="0" showHorizontalScrollbar="0" level="2" selectionLevel="2" scrollPosition="2020-06-07T00:00:00" style="TimeSlicerStyleLight6"/>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5" Type="http://schemas.microsoft.com/office/2011/relationships/timeline" Target="../timelines/timeline1.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B62BE-7113-4DD0-9577-7B9B07EC1361}">
  <dimension ref="A3:B8"/>
  <sheetViews>
    <sheetView showGridLines="0" topLeftCell="A2" workbookViewId="0">
      <selection activeCell="A4" sqref="A4"/>
    </sheetView>
  </sheetViews>
  <sheetFormatPr defaultRowHeight="14.5" x14ac:dyDescent="0.35"/>
  <cols>
    <col min="1" max="1" width="12.36328125" bestFit="1" customWidth="1"/>
    <col min="2" max="3" width="14.7265625" bestFit="1" customWidth="1"/>
  </cols>
  <sheetData>
    <row r="3" spans="1:2" x14ac:dyDescent="0.35">
      <c r="A3" s="8" t="s">
        <v>1039</v>
      </c>
      <c r="B3" t="s">
        <v>1041</v>
      </c>
    </row>
    <row r="4" spans="1:2" x14ac:dyDescent="0.35">
      <c r="A4" s="2" t="s">
        <v>1033</v>
      </c>
      <c r="B4">
        <v>1164</v>
      </c>
    </row>
    <row r="5" spans="1:2" x14ac:dyDescent="0.35">
      <c r="A5" s="2" t="s">
        <v>1036</v>
      </c>
      <c r="B5">
        <v>738</v>
      </c>
    </row>
    <row r="6" spans="1:2" x14ac:dyDescent="0.35">
      <c r="A6" s="2" t="s">
        <v>1034</v>
      </c>
      <c r="B6">
        <v>545</v>
      </c>
    </row>
    <row r="7" spans="1:2" x14ac:dyDescent="0.35">
      <c r="A7" s="2" t="s">
        <v>1035</v>
      </c>
      <c r="B7">
        <v>1315</v>
      </c>
    </row>
    <row r="8" spans="1:2" x14ac:dyDescent="0.35">
      <c r="A8" s="2" t="s">
        <v>1040</v>
      </c>
      <c r="B8">
        <v>3762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0020D-A301-4BAF-823E-F96BA83287BB}">
  <dimension ref="A3:B10"/>
  <sheetViews>
    <sheetView workbookViewId="0">
      <selection activeCell="A4" sqref="A4"/>
    </sheetView>
  </sheetViews>
  <sheetFormatPr defaultRowHeight="14.5" x14ac:dyDescent="0.35"/>
  <cols>
    <col min="1" max="1" width="12.36328125" bestFit="1" customWidth="1"/>
    <col min="2" max="2" width="14.7265625" bestFit="1" customWidth="1"/>
  </cols>
  <sheetData>
    <row r="3" spans="1:2" x14ac:dyDescent="0.35">
      <c r="A3" s="8" t="s">
        <v>1039</v>
      </c>
      <c r="B3" t="s">
        <v>1041</v>
      </c>
    </row>
    <row r="4" spans="1:2" x14ac:dyDescent="0.35">
      <c r="A4" s="2" t="s">
        <v>646</v>
      </c>
      <c r="B4">
        <v>842</v>
      </c>
    </row>
    <row r="5" spans="1:2" x14ac:dyDescent="0.35">
      <c r="A5" s="2" t="s">
        <v>1042</v>
      </c>
      <c r="B5">
        <v>379</v>
      </c>
    </row>
    <row r="6" spans="1:2" x14ac:dyDescent="0.35">
      <c r="A6" s="2" t="s">
        <v>1043</v>
      </c>
      <c r="B6">
        <v>544</v>
      </c>
    </row>
    <row r="7" spans="1:2" x14ac:dyDescent="0.35">
      <c r="A7" s="2" t="s">
        <v>1044</v>
      </c>
      <c r="B7">
        <v>642</v>
      </c>
    </row>
    <row r="8" spans="1:2" x14ac:dyDescent="0.35">
      <c r="A8" s="2" t="s">
        <v>694</v>
      </c>
      <c r="B8">
        <v>869</v>
      </c>
    </row>
    <row r="9" spans="1:2" x14ac:dyDescent="0.35">
      <c r="A9" s="2" t="s">
        <v>1045</v>
      </c>
      <c r="B9">
        <v>486</v>
      </c>
    </row>
    <row r="10" spans="1:2" x14ac:dyDescent="0.35">
      <c r="A10" s="2" t="s">
        <v>1040</v>
      </c>
      <c r="B10">
        <v>3762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1226A-8E04-41B8-9830-32836C5A954B}">
  <dimension ref="A3:B8"/>
  <sheetViews>
    <sheetView workbookViewId="0">
      <selection activeCell="A3" sqref="A3"/>
    </sheetView>
  </sheetViews>
  <sheetFormatPr defaultRowHeight="14.5" x14ac:dyDescent="0.35"/>
  <cols>
    <col min="1" max="1" width="12.36328125" bestFit="1" customWidth="1"/>
    <col min="2" max="2" width="19.1796875" bestFit="1" customWidth="1"/>
  </cols>
  <sheetData>
    <row r="3" spans="1:2" x14ac:dyDescent="0.35">
      <c r="A3" s="8" t="s">
        <v>1039</v>
      </c>
      <c r="B3" t="s">
        <v>1046</v>
      </c>
    </row>
    <row r="4" spans="1:2" x14ac:dyDescent="0.35">
      <c r="A4" s="2" t="s">
        <v>1010</v>
      </c>
      <c r="B4">
        <v>215</v>
      </c>
    </row>
    <row r="5" spans="1:2" x14ac:dyDescent="0.35">
      <c r="A5" s="2" t="s">
        <v>1013</v>
      </c>
      <c r="B5">
        <v>131</v>
      </c>
    </row>
    <row r="6" spans="1:2" x14ac:dyDescent="0.35">
      <c r="A6" s="2" t="s">
        <v>1012</v>
      </c>
      <c r="B6">
        <v>255</v>
      </c>
    </row>
    <row r="7" spans="1:2" x14ac:dyDescent="0.35">
      <c r="A7" s="2" t="s">
        <v>1011</v>
      </c>
      <c r="B7">
        <v>99</v>
      </c>
    </row>
    <row r="8" spans="1:2" x14ac:dyDescent="0.35">
      <c r="A8" s="2" t="s">
        <v>1040</v>
      </c>
      <c r="B8">
        <v>700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1DAA4-3ACD-4895-A7CC-6FFE80EABD7C}">
  <dimension ref="A3:B9"/>
  <sheetViews>
    <sheetView workbookViewId="0">
      <selection activeCell="K8" sqref="K8"/>
    </sheetView>
  </sheetViews>
  <sheetFormatPr defaultRowHeight="14.5" x14ac:dyDescent="0.35"/>
  <cols>
    <col min="1" max="1" width="20" bestFit="1" customWidth="1"/>
    <col min="2" max="2" width="14.7265625" bestFit="1" customWidth="1"/>
  </cols>
  <sheetData>
    <row r="3" spans="1:2" x14ac:dyDescent="0.35">
      <c r="A3" s="8" t="s">
        <v>1039</v>
      </c>
      <c r="B3" t="s">
        <v>1041</v>
      </c>
    </row>
    <row r="4" spans="1:2" x14ac:dyDescent="0.35">
      <c r="A4" s="2" t="s">
        <v>1027</v>
      </c>
      <c r="B4">
        <v>932</v>
      </c>
    </row>
    <row r="5" spans="1:2" x14ac:dyDescent="0.35">
      <c r="A5" s="2" t="s">
        <v>1023</v>
      </c>
      <c r="B5">
        <v>1078</v>
      </c>
    </row>
    <row r="6" spans="1:2" x14ac:dyDescent="0.35">
      <c r="A6" s="2" t="s">
        <v>1024</v>
      </c>
      <c r="B6">
        <v>435</v>
      </c>
    </row>
    <row r="7" spans="1:2" x14ac:dyDescent="0.35">
      <c r="A7" s="2" t="s">
        <v>1025</v>
      </c>
      <c r="B7">
        <v>734</v>
      </c>
    </row>
    <row r="8" spans="1:2" x14ac:dyDescent="0.35">
      <c r="A8" s="2" t="s">
        <v>1026</v>
      </c>
      <c r="B8">
        <v>583</v>
      </c>
    </row>
    <row r="9" spans="1:2" x14ac:dyDescent="0.35">
      <c r="A9" s="2" t="s">
        <v>1040</v>
      </c>
      <c r="B9">
        <v>3762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0DE52-BB6B-495F-9E1B-8F06211D647A}">
  <dimension ref="A3:B9"/>
  <sheetViews>
    <sheetView workbookViewId="0">
      <selection activeCell="K12" sqref="K12"/>
    </sheetView>
  </sheetViews>
  <sheetFormatPr defaultRowHeight="14.5" x14ac:dyDescent="0.35"/>
  <cols>
    <col min="1" max="1" width="20" bestFit="1" customWidth="1"/>
    <col min="2" max="2" width="14.7265625" bestFit="1" customWidth="1"/>
  </cols>
  <sheetData>
    <row r="3" spans="1:2" x14ac:dyDescent="0.35">
      <c r="A3" s="8" t="s">
        <v>1039</v>
      </c>
      <c r="B3" t="s">
        <v>1041</v>
      </c>
    </row>
    <row r="4" spans="1:2" x14ac:dyDescent="0.35">
      <c r="A4" s="2" t="s">
        <v>1027</v>
      </c>
      <c r="B4">
        <v>932</v>
      </c>
    </row>
    <row r="5" spans="1:2" x14ac:dyDescent="0.35">
      <c r="A5" s="2" t="s">
        <v>1023</v>
      </c>
      <c r="B5">
        <v>1078</v>
      </c>
    </row>
    <row r="6" spans="1:2" x14ac:dyDescent="0.35">
      <c r="A6" s="2" t="s">
        <v>1024</v>
      </c>
      <c r="B6">
        <v>435</v>
      </c>
    </row>
    <row r="7" spans="1:2" x14ac:dyDescent="0.35">
      <c r="A7" s="2" t="s">
        <v>1025</v>
      </c>
      <c r="B7">
        <v>734</v>
      </c>
    </row>
    <row r="8" spans="1:2" x14ac:dyDescent="0.35">
      <c r="A8" s="2" t="s">
        <v>1026</v>
      </c>
      <c r="B8">
        <v>583</v>
      </c>
    </row>
    <row r="9" spans="1:2" x14ac:dyDescent="0.35">
      <c r="A9" s="2" t="s">
        <v>1040</v>
      </c>
      <c r="B9">
        <v>3762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081D-EF3C-48FA-8A86-5622BA1E6089}">
  <dimension ref="A3:C9"/>
  <sheetViews>
    <sheetView zoomScaleNormal="100" workbookViewId="0">
      <selection activeCell="A12" sqref="A12"/>
    </sheetView>
  </sheetViews>
  <sheetFormatPr defaultRowHeight="14.5" x14ac:dyDescent="0.35"/>
  <cols>
    <col min="1" max="1" width="20" bestFit="1" customWidth="1"/>
    <col min="2" max="2" width="14.7265625" bestFit="1" customWidth="1"/>
    <col min="3" max="3" width="18.26953125" bestFit="1" customWidth="1"/>
    <col min="4" max="4" width="8.81640625" bestFit="1" customWidth="1"/>
    <col min="5" max="12" width="11.81640625" bestFit="1" customWidth="1"/>
    <col min="13" max="14" width="7.81640625" bestFit="1" customWidth="1"/>
    <col min="15" max="15" width="11.81640625" bestFit="1" customWidth="1"/>
    <col min="16" max="16" width="6.453125" bestFit="1" customWidth="1"/>
    <col min="17" max="17" width="11.81640625" bestFit="1" customWidth="1"/>
    <col min="18" max="18" width="6.453125" bestFit="1" customWidth="1"/>
    <col min="19" max="19" width="11.81640625" bestFit="1" customWidth="1"/>
    <col min="20" max="21" width="7.81640625" bestFit="1" customWidth="1"/>
    <col min="22" max="23" width="11.81640625" bestFit="1" customWidth="1"/>
    <col min="24" max="24" width="8.81640625" bestFit="1" customWidth="1"/>
    <col min="25" max="26" width="11.81640625" bestFit="1" customWidth="1"/>
    <col min="27" max="27" width="7.81640625" bestFit="1" customWidth="1"/>
    <col min="28" max="28" width="8.81640625" bestFit="1" customWidth="1"/>
    <col min="29" max="29" width="6.90625" bestFit="1" customWidth="1"/>
    <col min="30" max="30" width="7.81640625" bestFit="1" customWidth="1"/>
    <col min="31" max="31" width="10.81640625" bestFit="1" customWidth="1"/>
    <col min="32" max="32" width="7.81640625" bestFit="1" customWidth="1"/>
    <col min="33" max="34" width="11.81640625" bestFit="1" customWidth="1"/>
    <col min="35" max="35" width="7.81640625" bestFit="1" customWidth="1"/>
    <col min="36" max="36" width="10.81640625" bestFit="1" customWidth="1"/>
    <col min="37" max="38" width="7.81640625" bestFit="1" customWidth="1"/>
    <col min="39" max="39" width="11.81640625" bestFit="1" customWidth="1"/>
    <col min="40" max="41" width="7.81640625" bestFit="1" customWidth="1"/>
    <col min="42" max="42" width="9.81640625" bestFit="1" customWidth="1"/>
    <col min="43" max="44" width="11.81640625" bestFit="1" customWidth="1"/>
    <col min="45" max="45" width="7.08984375" bestFit="1" customWidth="1"/>
    <col min="46" max="46" width="11.81640625" bestFit="1" customWidth="1"/>
    <col min="47" max="47" width="7.81640625" bestFit="1" customWidth="1"/>
    <col min="48" max="48" width="10.81640625" bestFit="1" customWidth="1"/>
    <col min="49" max="49" width="7.81640625" bestFit="1" customWidth="1"/>
    <col min="50" max="51" width="11.81640625" bestFit="1" customWidth="1"/>
    <col min="52" max="53" width="7.81640625" bestFit="1" customWidth="1"/>
    <col min="54" max="55" width="8.81640625" bestFit="1" customWidth="1"/>
    <col min="56" max="56" width="7.81640625" bestFit="1" customWidth="1"/>
    <col min="57" max="58" width="11.81640625" bestFit="1" customWidth="1"/>
    <col min="59" max="60" width="6.26953125" bestFit="1" customWidth="1"/>
    <col min="61" max="61" width="7.81640625" bestFit="1" customWidth="1"/>
    <col min="62" max="63" width="11.81640625" bestFit="1" customWidth="1"/>
    <col min="64" max="65" width="6.26953125" bestFit="1" customWidth="1"/>
    <col min="66" max="66" width="7.81640625" bestFit="1" customWidth="1"/>
    <col min="67" max="69" width="11.81640625" bestFit="1" customWidth="1"/>
  </cols>
  <sheetData>
    <row r="3" spans="1:3" x14ac:dyDescent="0.35">
      <c r="A3" s="8" t="s">
        <v>1039</v>
      </c>
      <c r="B3" t="s">
        <v>1041</v>
      </c>
      <c r="C3" t="s">
        <v>1047</v>
      </c>
    </row>
    <row r="4" spans="1:3" x14ac:dyDescent="0.35">
      <c r="A4" s="2" t="s">
        <v>1027</v>
      </c>
      <c r="B4">
        <v>932</v>
      </c>
      <c r="C4">
        <v>38980</v>
      </c>
    </row>
    <row r="5" spans="1:3" x14ac:dyDescent="0.35">
      <c r="A5" s="2" t="s">
        <v>1023</v>
      </c>
      <c r="B5">
        <v>1078</v>
      </c>
      <c r="C5">
        <v>66989</v>
      </c>
    </row>
    <row r="6" spans="1:3" x14ac:dyDescent="0.35">
      <c r="A6" s="2" t="s">
        <v>1024</v>
      </c>
      <c r="B6">
        <v>435</v>
      </c>
      <c r="C6">
        <v>34690</v>
      </c>
    </row>
    <row r="7" spans="1:3" x14ac:dyDescent="0.35">
      <c r="A7" s="2" t="s">
        <v>1025</v>
      </c>
      <c r="B7">
        <v>734</v>
      </c>
      <c r="C7">
        <v>57999</v>
      </c>
    </row>
    <row r="8" spans="1:3" x14ac:dyDescent="0.35">
      <c r="A8" s="2" t="s">
        <v>1026</v>
      </c>
      <c r="B8">
        <v>583</v>
      </c>
      <c r="C8">
        <v>36990</v>
      </c>
    </row>
    <row r="9" spans="1:3" x14ac:dyDescent="0.35">
      <c r="A9" s="2" t="s">
        <v>1040</v>
      </c>
      <c r="B9">
        <v>3762</v>
      </c>
      <c r="C9">
        <v>49656.697142857141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C7723-B48D-49A2-BD47-C3559D6F9792}">
  <dimension ref="A1"/>
  <sheetViews>
    <sheetView showGridLines="0" tabSelected="1" zoomScale="60" zoomScaleNormal="60" workbookViewId="0">
      <selection activeCell="W39" sqref="W3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7ABD-7EFF-44C8-B358-3A3A0D10BDF5}">
  <dimension ref="A3:E4"/>
  <sheetViews>
    <sheetView workbookViewId="0">
      <selection activeCell="B4" sqref="B4"/>
    </sheetView>
  </sheetViews>
  <sheetFormatPr defaultRowHeight="14.5" x14ac:dyDescent="0.35"/>
  <cols>
    <col min="1" max="1" width="14.7265625" bestFit="1" customWidth="1"/>
    <col min="2" max="2" width="11.54296875" bestFit="1" customWidth="1"/>
    <col min="4" max="4" width="15.81640625" bestFit="1" customWidth="1"/>
  </cols>
  <sheetData>
    <row r="3" spans="1:5" x14ac:dyDescent="0.35">
      <c r="A3" t="s">
        <v>1041</v>
      </c>
      <c r="D3" t="s">
        <v>1048</v>
      </c>
    </row>
    <row r="4" spans="1:5" x14ac:dyDescent="0.35">
      <c r="A4">
        <v>3762</v>
      </c>
      <c r="B4" s="9">
        <f>GETPIVOTDATA("Unit Sold",$A$3)</f>
        <v>3762</v>
      </c>
      <c r="D4">
        <v>700</v>
      </c>
      <c r="E4">
        <f>GETPIVOTDATA("Order ID",$D$3)</f>
        <v>700</v>
      </c>
    </row>
  </sheetData>
  <pageMargins left="0.7" right="0.7" top="0.75" bottom="0.75" header="0.3" footer="0.3"/>
  <pageSetup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E6E7A-C880-48ED-BABA-EAAF660A3464}">
  <dimension ref="A1:P701"/>
  <sheetViews>
    <sheetView topLeftCell="A2" zoomScale="55" zoomScaleNormal="55" workbookViewId="0">
      <selection sqref="A1:O701"/>
    </sheetView>
  </sheetViews>
  <sheetFormatPr defaultRowHeight="14.5" x14ac:dyDescent="0.35"/>
  <cols>
    <col min="1" max="1" width="13.26953125" style="4" customWidth="1"/>
    <col min="2" max="2" width="11.81640625" style="5" customWidth="1"/>
    <col min="3" max="3" width="11.54296875" style="5" customWidth="1"/>
    <col min="4" max="4" width="15.08984375" style="5" bestFit="1" customWidth="1"/>
    <col min="5" max="6" width="15.08984375" style="5" customWidth="1"/>
    <col min="7" max="7" width="15.08984375" style="3" customWidth="1"/>
    <col min="8" max="8" width="33.08984375" style="5" bestFit="1" customWidth="1"/>
    <col min="9" max="9" width="26.54296875" style="5" customWidth="1"/>
    <col min="10" max="10" width="10.6328125" style="4" customWidth="1"/>
    <col min="11" max="11" width="12.1796875" style="1" customWidth="1"/>
    <col min="12" max="12" width="11.08984375" style="1" customWidth="1"/>
    <col min="13" max="13" width="10.36328125" style="4" customWidth="1"/>
    <col min="14" max="14" width="11.26953125" style="7" bestFit="1" customWidth="1"/>
    <col min="15" max="15" width="9.6328125" style="5" bestFit="1" customWidth="1"/>
    <col min="16" max="16" width="9.6328125" bestFit="1" customWidth="1"/>
  </cols>
  <sheetData>
    <row r="1" spans="1:16" x14ac:dyDescent="0.35">
      <c r="A1" s="4" t="s">
        <v>0</v>
      </c>
      <c r="B1" s="5" t="s">
        <v>1</v>
      </c>
      <c r="C1" s="5" t="s">
        <v>2</v>
      </c>
      <c r="D1" s="5" t="s">
        <v>1037</v>
      </c>
      <c r="E1" s="5" t="s">
        <v>1038</v>
      </c>
      <c r="F1" s="5" t="s">
        <v>1009</v>
      </c>
      <c r="G1" s="3" t="s">
        <v>1014</v>
      </c>
      <c r="H1" s="5" t="s">
        <v>1008</v>
      </c>
      <c r="I1" s="5" t="s">
        <v>1022</v>
      </c>
      <c r="J1" s="4" t="s">
        <v>1028</v>
      </c>
      <c r="K1" s="1" t="s">
        <v>1019</v>
      </c>
      <c r="L1" s="1" t="s">
        <v>1031</v>
      </c>
      <c r="M1" s="4" t="s">
        <v>1020</v>
      </c>
      <c r="N1" s="7" t="s">
        <v>1021</v>
      </c>
      <c r="O1" s="5" t="s">
        <v>1029</v>
      </c>
    </row>
    <row r="2" spans="1:16" x14ac:dyDescent="0.35">
      <c r="A2" s="4">
        <v>17943</v>
      </c>
      <c r="B2" s="5" t="s">
        <v>3</v>
      </c>
      <c r="C2" s="5" t="s">
        <v>4</v>
      </c>
      <c r="D2" s="5" t="s">
        <v>1032</v>
      </c>
      <c r="E2" s="5" t="s">
        <v>1033</v>
      </c>
      <c r="F2" s="5" t="s">
        <v>1010</v>
      </c>
      <c r="G2" s="3" t="s">
        <v>1015</v>
      </c>
      <c r="H2" s="5" t="s">
        <v>5</v>
      </c>
      <c r="I2" s="5" t="s">
        <v>1023</v>
      </c>
      <c r="J2" s="4">
        <v>4817</v>
      </c>
      <c r="K2" s="1">
        <v>43837</v>
      </c>
      <c r="L2" s="1">
        <v>43838</v>
      </c>
      <c r="M2" s="4">
        <v>4</v>
      </c>
      <c r="N2" s="7" cm="1">
        <f t="array" ref="N2">_xlfn.IFS(I2="Dell Inspiron 15",66989,I2="Lenovo IdeaPad Slim 3i",34690,I2="Mi NoteBook Ultra",57999,I2="Samsung Galaxy Go",36990,I2="Acer Aspire 3",38980)</f>
        <v>66989</v>
      </c>
      <c r="O2" s="5" t="s">
        <v>1030</v>
      </c>
    </row>
    <row r="3" spans="1:16" x14ac:dyDescent="0.35">
      <c r="A3" s="4">
        <v>23903</v>
      </c>
      <c r="B3" s="5" t="s">
        <v>6</v>
      </c>
      <c r="C3" s="5" t="s">
        <v>7</v>
      </c>
      <c r="D3" s="5" t="s">
        <v>1032</v>
      </c>
      <c r="E3" s="5" t="s">
        <v>1034</v>
      </c>
      <c r="F3" s="5" t="s">
        <v>1011</v>
      </c>
      <c r="G3" s="3" t="s">
        <v>1016</v>
      </c>
      <c r="H3" s="5" t="s">
        <v>8</v>
      </c>
      <c r="I3" s="5" t="s">
        <v>1024</v>
      </c>
      <c r="J3" s="4">
        <v>5033</v>
      </c>
      <c r="K3" s="1">
        <v>43995</v>
      </c>
      <c r="L3" s="1">
        <v>43997</v>
      </c>
      <c r="M3" s="4">
        <v>9</v>
      </c>
      <c r="N3" s="7" cm="1">
        <f t="array" ref="N3">_xlfn.IFS(I3="Dell Inspiron 15",66989,I3="Lenovo IdeaPad Slim 3i",34690,I3="Mi NoteBook Ultra",57999,I3="Samsung Galaxy Go",36990,I3="Acer Aspire 3",38980)</f>
        <v>34690</v>
      </c>
      <c r="O3" s="5" t="s">
        <v>1030</v>
      </c>
      <c r="P3" s="1"/>
    </row>
    <row r="4" spans="1:16" x14ac:dyDescent="0.35">
      <c r="A4" s="4">
        <v>13607</v>
      </c>
      <c r="B4" s="5" t="s">
        <v>3</v>
      </c>
      <c r="C4" s="5" t="s">
        <v>9</v>
      </c>
      <c r="D4" s="5" t="s">
        <v>1032</v>
      </c>
      <c r="E4" s="5" t="s">
        <v>1033</v>
      </c>
      <c r="F4" s="5" t="s">
        <v>1010</v>
      </c>
      <c r="G4" s="3" t="s">
        <v>1015</v>
      </c>
      <c r="H4" s="5" t="s">
        <v>10</v>
      </c>
      <c r="I4" s="5" t="s">
        <v>1025</v>
      </c>
      <c r="J4" s="4">
        <v>4799</v>
      </c>
      <c r="K4" s="1">
        <v>43876</v>
      </c>
      <c r="L4" s="1">
        <v>43878</v>
      </c>
      <c r="M4" s="4">
        <v>4</v>
      </c>
      <c r="N4" s="7" cm="1">
        <f t="array" ref="N4">_xlfn.IFS(I4="Dell Inspiron 15",66989,I4="Lenovo IdeaPad Slim 3i",34690,I4="Mi NoteBook Ultra",57999,I4="Samsung Galaxy Go",36990,I4="Acer Aspire 3",38980)</f>
        <v>57999</v>
      </c>
      <c r="O4" s="5" t="s">
        <v>1030</v>
      </c>
      <c r="P4" s="1"/>
    </row>
    <row r="5" spans="1:16" x14ac:dyDescent="0.35">
      <c r="A5" s="4">
        <v>13208</v>
      </c>
      <c r="B5" s="5" t="s">
        <v>11</v>
      </c>
      <c r="C5" s="5" t="s">
        <v>12</v>
      </c>
      <c r="D5" s="5" t="s">
        <v>1032</v>
      </c>
      <c r="E5" s="5" t="s">
        <v>1035</v>
      </c>
      <c r="F5" s="5" t="s">
        <v>1012</v>
      </c>
      <c r="G5" s="3" t="s">
        <v>1017</v>
      </c>
      <c r="H5" s="5" t="s">
        <v>13</v>
      </c>
      <c r="I5" s="5" t="s">
        <v>1026</v>
      </c>
      <c r="J5" s="4">
        <v>4653</v>
      </c>
      <c r="K5" s="1">
        <v>43963</v>
      </c>
      <c r="L5" s="1">
        <v>43965</v>
      </c>
      <c r="M5" s="4">
        <v>9</v>
      </c>
      <c r="N5" s="7" cm="1">
        <f t="array" ref="N5">_xlfn.IFS(I5="Dell Inspiron 15",66989,I5="Lenovo IdeaPad Slim 3i",34690,I5="Mi NoteBook Ultra",57999,I5="Samsung Galaxy Go",36990,I5="Acer Aspire 3",38980)</f>
        <v>36990</v>
      </c>
      <c r="O5" s="5" t="s">
        <v>1030</v>
      </c>
      <c r="P5" s="1"/>
    </row>
    <row r="6" spans="1:16" x14ac:dyDescent="0.35">
      <c r="A6" s="4">
        <v>13939</v>
      </c>
      <c r="B6" s="5" t="s">
        <v>14</v>
      </c>
      <c r="C6" s="5" t="s">
        <v>15</v>
      </c>
      <c r="D6" s="5" t="s">
        <v>1032</v>
      </c>
      <c r="E6" s="5" t="s">
        <v>1035</v>
      </c>
      <c r="F6" s="5" t="s">
        <v>1012</v>
      </c>
      <c r="G6" s="3" t="s">
        <v>1017</v>
      </c>
      <c r="H6" s="5" t="s">
        <v>16</v>
      </c>
      <c r="I6" s="5" t="s">
        <v>1027</v>
      </c>
      <c r="J6" s="4">
        <v>4682</v>
      </c>
      <c r="K6" s="1">
        <v>43963</v>
      </c>
      <c r="L6" s="1">
        <v>43964</v>
      </c>
      <c r="M6" s="4">
        <v>5</v>
      </c>
      <c r="N6" s="7" cm="1">
        <f t="array" ref="N6">_xlfn.IFS(I6="Dell Inspiron 15",66989,I6="Lenovo IdeaPad Slim 3i",34690,I6="Mi NoteBook Ultra",57999,I6="Samsung Galaxy Go",36990,I6="Acer Aspire 3",38980)</f>
        <v>38980</v>
      </c>
      <c r="O6" s="5" t="s">
        <v>1030</v>
      </c>
      <c r="P6" s="1"/>
    </row>
    <row r="7" spans="1:16" x14ac:dyDescent="0.35">
      <c r="A7" s="4">
        <v>23848</v>
      </c>
      <c r="B7" s="5" t="s">
        <v>17</v>
      </c>
      <c r="C7" s="5" t="s">
        <v>18</v>
      </c>
      <c r="D7" s="5" t="s">
        <v>1032</v>
      </c>
      <c r="E7" s="5" t="s">
        <v>1036</v>
      </c>
      <c r="F7" s="5" t="s">
        <v>1013</v>
      </c>
      <c r="G7" s="3" t="s">
        <v>1018</v>
      </c>
      <c r="H7" s="5" t="s">
        <v>19</v>
      </c>
      <c r="I7" s="5" t="s">
        <v>1023</v>
      </c>
      <c r="J7" s="4">
        <v>4708</v>
      </c>
      <c r="K7" s="1">
        <v>43963</v>
      </c>
      <c r="L7" s="1">
        <v>43964</v>
      </c>
      <c r="M7" s="4">
        <v>8</v>
      </c>
      <c r="N7" s="7" cm="1">
        <f t="array" ref="N7">_xlfn.IFS(I7="Dell Inspiron 15",66989,I7="Lenovo IdeaPad Slim 3i",34690,I7="Mi NoteBook Ultra",57999,I7="Samsung Galaxy Go",36990,I7="Acer Aspire 3",38980)</f>
        <v>66989</v>
      </c>
      <c r="O7" s="5" t="s">
        <v>1030</v>
      </c>
      <c r="P7" s="1"/>
    </row>
    <row r="8" spans="1:16" x14ac:dyDescent="0.35">
      <c r="A8" s="4">
        <v>12638</v>
      </c>
      <c r="B8" s="5" t="s">
        <v>20</v>
      </c>
      <c r="C8" s="5" t="s">
        <v>21</v>
      </c>
      <c r="D8" s="5" t="s">
        <v>1032</v>
      </c>
      <c r="E8" s="5" t="s">
        <v>1033</v>
      </c>
      <c r="F8" s="5" t="s">
        <v>1010</v>
      </c>
      <c r="G8" s="3" t="s">
        <v>1015</v>
      </c>
      <c r="H8" s="5" t="s">
        <v>22</v>
      </c>
      <c r="I8" s="5" t="s">
        <v>1025</v>
      </c>
      <c r="J8" s="4">
        <v>5252</v>
      </c>
      <c r="K8" s="1">
        <v>43963</v>
      </c>
      <c r="L8" s="1">
        <v>43964</v>
      </c>
      <c r="M8" s="4">
        <v>6</v>
      </c>
      <c r="N8" s="7" cm="1">
        <f t="array" ref="N8">_xlfn.IFS(I8="Dell Inspiron 15",66989,I8="Lenovo IdeaPad Slim 3i",34690,I8="Mi NoteBook Ultra",57999,I8="Samsung Galaxy Go",36990,I8="Acer Aspire 3",38980)</f>
        <v>57999</v>
      </c>
      <c r="O8" s="5" t="s">
        <v>1030</v>
      </c>
      <c r="P8" s="1"/>
    </row>
    <row r="9" spans="1:16" x14ac:dyDescent="0.35">
      <c r="A9" s="4">
        <v>16642</v>
      </c>
      <c r="B9" s="5" t="s">
        <v>23</v>
      </c>
      <c r="C9" s="5" t="s">
        <v>24</v>
      </c>
      <c r="D9" s="5" t="s">
        <v>1032</v>
      </c>
      <c r="E9" s="5" t="s">
        <v>1034</v>
      </c>
      <c r="F9" s="5" t="s">
        <v>1011</v>
      </c>
      <c r="G9" s="3" t="s">
        <v>1016</v>
      </c>
      <c r="H9" s="5" t="s">
        <v>25</v>
      </c>
      <c r="I9" s="5" t="s">
        <v>1027</v>
      </c>
      <c r="J9" s="4">
        <v>5470</v>
      </c>
      <c r="K9" s="1">
        <v>43929</v>
      </c>
      <c r="L9" s="1">
        <v>43930</v>
      </c>
      <c r="M9" s="4">
        <v>9</v>
      </c>
      <c r="N9" s="7" cm="1">
        <f t="array" ref="N9">_xlfn.IFS(I9="Dell Inspiron 15",66989,I9="Lenovo IdeaPad Slim 3i",34690,I9="Mi NoteBook Ultra",57999,I9="Samsung Galaxy Go",36990,I9="Acer Aspire 3",38980)</f>
        <v>38980</v>
      </c>
      <c r="O9" s="5" t="s">
        <v>1030</v>
      </c>
      <c r="P9" s="1"/>
    </row>
    <row r="10" spans="1:16" x14ac:dyDescent="0.35">
      <c r="A10" s="4">
        <v>13447</v>
      </c>
      <c r="B10" s="5" t="s">
        <v>26</v>
      </c>
      <c r="C10" s="5" t="s">
        <v>27</v>
      </c>
      <c r="D10" s="5" t="s">
        <v>1032</v>
      </c>
      <c r="E10" s="5" t="s">
        <v>1033</v>
      </c>
      <c r="F10" s="5" t="s">
        <v>1010</v>
      </c>
      <c r="G10" s="3" t="s">
        <v>1015</v>
      </c>
      <c r="H10" s="5" t="s">
        <v>28</v>
      </c>
      <c r="I10" s="5" t="s">
        <v>1023</v>
      </c>
      <c r="J10" s="4">
        <v>4942</v>
      </c>
      <c r="K10" s="1">
        <v>43979</v>
      </c>
      <c r="L10" s="1">
        <v>43979</v>
      </c>
      <c r="M10" s="4">
        <v>10</v>
      </c>
      <c r="N10" s="7" cm="1">
        <f t="array" ref="N10">_xlfn.IFS(I10="Dell Inspiron 15",66989,I10="Lenovo IdeaPad Slim 3i",34690,I10="Mi NoteBook Ultra",57999,I10="Samsung Galaxy Go",36990,I10="Acer Aspire 3",38980)</f>
        <v>66989</v>
      </c>
      <c r="O10" s="5" t="s">
        <v>1030</v>
      </c>
      <c r="P10" s="1"/>
    </row>
    <row r="11" spans="1:16" x14ac:dyDescent="0.35">
      <c r="A11" s="4">
        <v>25227</v>
      </c>
      <c r="B11" s="5" t="s">
        <v>29</v>
      </c>
      <c r="C11" s="5" t="s">
        <v>30</v>
      </c>
      <c r="D11" s="5" t="s">
        <v>1032</v>
      </c>
      <c r="E11" s="5" t="s">
        <v>1035</v>
      </c>
      <c r="F11" s="5" t="s">
        <v>1012</v>
      </c>
      <c r="G11" s="3" t="s">
        <v>1017</v>
      </c>
      <c r="H11" s="5" t="s">
        <v>31</v>
      </c>
      <c r="I11" s="5" t="s">
        <v>1024</v>
      </c>
      <c r="J11" s="4">
        <v>5459</v>
      </c>
      <c r="K11" s="1">
        <v>43873</v>
      </c>
      <c r="L11" s="1">
        <v>43876</v>
      </c>
      <c r="M11" s="4">
        <v>3</v>
      </c>
      <c r="N11" s="7" cm="1">
        <f t="array" ref="N11">_xlfn.IFS(I11="Dell Inspiron 15",66989,I11="Lenovo IdeaPad Slim 3i",34690,I11="Mi NoteBook Ultra",57999,I11="Samsung Galaxy Go",36990,I11="Acer Aspire 3",38980)</f>
        <v>34690</v>
      </c>
      <c r="O11" s="5" t="s">
        <v>1030</v>
      </c>
      <c r="P11" s="1"/>
    </row>
    <row r="12" spans="1:16" x14ac:dyDescent="0.35">
      <c r="A12" s="4">
        <v>13535</v>
      </c>
      <c r="B12" s="5" t="s">
        <v>32</v>
      </c>
      <c r="C12" s="5" t="s">
        <v>33</v>
      </c>
      <c r="D12" s="5" t="s">
        <v>1032</v>
      </c>
      <c r="E12" s="5" t="s">
        <v>1035</v>
      </c>
      <c r="F12" s="5" t="s">
        <v>1012</v>
      </c>
      <c r="G12" s="3" t="s">
        <v>1017</v>
      </c>
      <c r="H12" s="5" t="s">
        <v>34</v>
      </c>
      <c r="I12" s="5" t="s">
        <v>1026</v>
      </c>
      <c r="J12" s="4">
        <v>4617</v>
      </c>
      <c r="K12" s="1">
        <v>43873</v>
      </c>
      <c r="L12" s="1">
        <v>43875</v>
      </c>
      <c r="M12" s="4">
        <v>2</v>
      </c>
      <c r="N12" s="7" cm="1">
        <f t="array" ref="N12">_xlfn.IFS(I12="Dell Inspiron 15",66989,I12="Lenovo IdeaPad Slim 3i",34690,I12="Mi NoteBook Ultra",57999,I12="Samsung Galaxy Go",36990,I12="Acer Aspire 3",38980)</f>
        <v>36990</v>
      </c>
      <c r="O12" s="5" t="s">
        <v>1030</v>
      </c>
      <c r="P12" s="1"/>
    </row>
    <row r="13" spans="1:16" x14ac:dyDescent="0.35">
      <c r="A13" s="4">
        <v>19772</v>
      </c>
      <c r="B13" s="5" t="s">
        <v>35</v>
      </c>
      <c r="C13" s="5" t="s">
        <v>36</v>
      </c>
      <c r="D13" s="5" t="s">
        <v>1032</v>
      </c>
      <c r="E13" s="5" t="s">
        <v>1036</v>
      </c>
      <c r="F13" s="5" t="s">
        <v>1013</v>
      </c>
      <c r="G13" s="3" t="s">
        <v>1018</v>
      </c>
      <c r="H13" s="5" t="s">
        <v>37</v>
      </c>
      <c r="I13" s="5" t="s">
        <v>1023</v>
      </c>
      <c r="J13" s="4">
        <v>5467</v>
      </c>
      <c r="K13" s="1">
        <v>43966</v>
      </c>
      <c r="L13" s="1">
        <v>43967</v>
      </c>
      <c r="M13" s="4">
        <v>1</v>
      </c>
      <c r="N13" s="7" cm="1">
        <f t="array" ref="N13">_xlfn.IFS(I13="Dell Inspiron 15",66989,I13="Lenovo IdeaPad Slim 3i",34690,I13="Mi NoteBook Ultra",57999,I13="Samsung Galaxy Go",36990,I13="Acer Aspire 3",38980)</f>
        <v>66989</v>
      </c>
      <c r="O13" s="5" t="s">
        <v>1030</v>
      </c>
      <c r="P13" s="1"/>
    </row>
    <row r="14" spans="1:16" x14ac:dyDescent="0.35">
      <c r="A14" s="4">
        <v>19957</v>
      </c>
      <c r="B14" s="5" t="s">
        <v>38</v>
      </c>
      <c r="C14" s="5" t="s">
        <v>39</v>
      </c>
      <c r="D14" s="5" t="s">
        <v>1032</v>
      </c>
      <c r="E14" s="5" t="s">
        <v>1033</v>
      </c>
      <c r="F14" s="5" t="s">
        <v>1010</v>
      </c>
      <c r="G14" s="3" t="s">
        <v>1015</v>
      </c>
      <c r="H14" s="5" t="s">
        <v>40</v>
      </c>
      <c r="I14" s="5" t="s">
        <v>1027</v>
      </c>
      <c r="J14" s="4">
        <v>5503</v>
      </c>
      <c r="K14" s="1">
        <v>43972</v>
      </c>
      <c r="L14" s="1">
        <v>43974</v>
      </c>
      <c r="M14" s="4">
        <v>9</v>
      </c>
      <c r="N14" s="7" cm="1">
        <f t="array" ref="N14">_xlfn.IFS(I14="Dell Inspiron 15",66989,I14="Lenovo IdeaPad Slim 3i",34690,I14="Mi NoteBook Ultra",57999,I14="Samsung Galaxy Go",36990,I14="Acer Aspire 3",38980)</f>
        <v>38980</v>
      </c>
      <c r="O14" s="5" t="s">
        <v>1030</v>
      </c>
      <c r="P14" s="1"/>
    </row>
    <row r="15" spans="1:16" x14ac:dyDescent="0.35">
      <c r="A15" s="4">
        <v>12996</v>
      </c>
      <c r="B15" s="5" t="s">
        <v>41</v>
      </c>
      <c r="C15" s="5" t="s">
        <v>42</v>
      </c>
      <c r="D15" s="5" t="s">
        <v>1032</v>
      </c>
      <c r="E15" s="5" t="s">
        <v>1034</v>
      </c>
      <c r="F15" s="5" t="s">
        <v>1011</v>
      </c>
      <c r="G15" s="3" t="s">
        <v>1016</v>
      </c>
      <c r="H15" s="5" t="s">
        <v>43</v>
      </c>
      <c r="I15" s="5" t="s">
        <v>1025</v>
      </c>
      <c r="J15" s="4">
        <v>5366</v>
      </c>
      <c r="K15" s="1">
        <v>43966</v>
      </c>
      <c r="L15" s="1">
        <v>43967</v>
      </c>
      <c r="M15" s="4">
        <v>10</v>
      </c>
      <c r="N15" s="7" cm="1">
        <f t="array" ref="N15">_xlfn.IFS(I15="Dell Inspiron 15",66989,I15="Lenovo IdeaPad Slim 3i",34690,I15="Mi NoteBook Ultra",57999,I15="Samsung Galaxy Go",36990,I15="Acer Aspire 3",38980)</f>
        <v>57999</v>
      </c>
      <c r="O15" s="5" t="s">
        <v>1030</v>
      </c>
      <c r="P15" s="1"/>
    </row>
    <row r="16" spans="1:16" x14ac:dyDescent="0.35">
      <c r="A16" s="4">
        <v>24631</v>
      </c>
      <c r="B16" s="5" t="s">
        <v>44</v>
      </c>
      <c r="C16" s="5" t="s">
        <v>45</v>
      </c>
      <c r="D16" s="5" t="s">
        <v>1032</v>
      </c>
      <c r="E16" s="5" t="s">
        <v>1033</v>
      </c>
      <c r="F16" s="5" t="s">
        <v>1010</v>
      </c>
      <c r="G16" s="3" t="s">
        <v>1015</v>
      </c>
      <c r="H16" s="5" t="s">
        <v>46</v>
      </c>
      <c r="I16" s="5" t="s">
        <v>1026</v>
      </c>
      <c r="J16" s="4">
        <v>5093</v>
      </c>
      <c r="K16" s="1">
        <v>43972</v>
      </c>
      <c r="L16" s="1">
        <v>43973</v>
      </c>
      <c r="M16" s="4">
        <v>4</v>
      </c>
      <c r="N16" s="7" cm="1">
        <f t="array" ref="N16">_xlfn.IFS(I16="Dell Inspiron 15",66989,I16="Lenovo IdeaPad Slim 3i",34690,I16="Mi NoteBook Ultra",57999,I16="Samsung Galaxy Go",36990,I16="Acer Aspire 3",38980)</f>
        <v>36990</v>
      </c>
      <c r="O16" s="5" t="s">
        <v>1030</v>
      </c>
      <c r="P16" s="1"/>
    </row>
    <row r="17" spans="1:16" x14ac:dyDescent="0.35">
      <c r="A17" s="4">
        <v>17872</v>
      </c>
      <c r="B17" s="5" t="s">
        <v>47</v>
      </c>
      <c r="C17" s="5" t="s">
        <v>48</v>
      </c>
      <c r="D17" s="5" t="s">
        <v>1032</v>
      </c>
      <c r="E17" s="5" t="s">
        <v>1035</v>
      </c>
      <c r="F17" s="5" t="s">
        <v>1012</v>
      </c>
      <c r="G17" s="3" t="s">
        <v>1017</v>
      </c>
      <c r="H17" s="5" t="s">
        <v>49</v>
      </c>
      <c r="I17" s="5" t="s">
        <v>1027</v>
      </c>
      <c r="J17" s="4">
        <v>4989</v>
      </c>
      <c r="K17" s="1">
        <v>43972</v>
      </c>
      <c r="L17" s="1">
        <v>43974</v>
      </c>
      <c r="M17" s="4">
        <v>4</v>
      </c>
      <c r="N17" s="7" cm="1">
        <f t="array" ref="N17">_xlfn.IFS(I17="Dell Inspiron 15",66989,I17="Lenovo IdeaPad Slim 3i",34690,I17="Mi NoteBook Ultra",57999,I17="Samsung Galaxy Go",36990,I17="Acer Aspire 3",38980)</f>
        <v>38980</v>
      </c>
      <c r="O17" s="5" t="s">
        <v>1030</v>
      </c>
      <c r="P17" s="1"/>
    </row>
    <row r="18" spans="1:16" x14ac:dyDescent="0.35">
      <c r="A18" s="4">
        <v>19514</v>
      </c>
      <c r="B18" s="5" t="s">
        <v>50</v>
      </c>
      <c r="C18" s="5" t="s">
        <v>9</v>
      </c>
      <c r="D18" s="5" t="s">
        <v>1032</v>
      </c>
      <c r="E18" s="5" t="s">
        <v>1035</v>
      </c>
      <c r="F18" s="5" t="s">
        <v>1012</v>
      </c>
      <c r="G18" s="3" t="s">
        <v>1017</v>
      </c>
      <c r="H18" s="5" t="s">
        <v>51</v>
      </c>
      <c r="I18" s="5" t="s">
        <v>1023</v>
      </c>
      <c r="J18" s="4">
        <v>4791</v>
      </c>
      <c r="K18" s="1">
        <v>43858</v>
      </c>
      <c r="L18" s="1">
        <v>43859</v>
      </c>
      <c r="M18" s="4">
        <v>1</v>
      </c>
      <c r="N18" s="7" cm="1">
        <f t="array" ref="N18">_xlfn.IFS(I18="Dell Inspiron 15",66989,I18="Lenovo IdeaPad Slim 3i",34690,I18="Mi NoteBook Ultra",57999,I18="Samsung Galaxy Go",36990,I18="Acer Aspire 3",38980)</f>
        <v>66989</v>
      </c>
      <c r="O18" s="5" t="s">
        <v>1030</v>
      </c>
      <c r="P18" s="1"/>
    </row>
    <row r="19" spans="1:16" x14ac:dyDescent="0.35">
      <c r="A19" s="4">
        <v>12708</v>
      </c>
      <c r="B19" s="5" t="s">
        <v>52</v>
      </c>
      <c r="C19" s="5" t="s">
        <v>53</v>
      </c>
      <c r="D19" s="5" t="s">
        <v>1032</v>
      </c>
      <c r="E19" s="5" t="s">
        <v>1036</v>
      </c>
      <c r="F19" s="5" t="s">
        <v>1013</v>
      </c>
      <c r="G19" s="3" t="s">
        <v>1018</v>
      </c>
      <c r="H19" s="5" t="s">
        <v>54</v>
      </c>
      <c r="I19" s="5" t="s">
        <v>1025</v>
      </c>
      <c r="J19" s="4">
        <v>5490</v>
      </c>
      <c r="K19" s="1">
        <v>43858</v>
      </c>
      <c r="L19" s="1">
        <v>43860</v>
      </c>
      <c r="M19" s="4">
        <v>4</v>
      </c>
      <c r="N19" s="7" cm="1">
        <f t="array" ref="N19">_xlfn.IFS(I19="Dell Inspiron 15",66989,I19="Lenovo IdeaPad Slim 3i",34690,I19="Mi NoteBook Ultra",57999,I19="Samsung Galaxy Go",36990,I19="Acer Aspire 3",38980)</f>
        <v>57999</v>
      </c>
      <c r="O19" s="5" t="s">
        <v>1030</v>
      </c>
      <c r="P19" s="1"/>
    </row>
    <row r="20" spans="1:16" x14ac:dyDescent="0.35">
      <c r="A20" s="4">
        <v>20646</v>
      </c>
      <c r="B20" s="5" t="s">
        <v>55</v>
      </c>
      <c r="C20" s="5" t="s">
        <v>27</v>
      </c>
      <c r="D20" s="5" t="s">
        <v>1032</v>
      </c>
      <c r="E20" s="5" t="s">
        <v>1033</v>
      </c>
      <c r="F20" s="5" t="s">
        <v>1010</v>
      </c>
      <c r="G20" s="3" t="s">
        <v>1015</v>
      </c>
      <c r="H20" s="5" t="s">
        <v>56</v>
      </c>
      <c r="I20" s="5" t="s">
        <v>1027</v>
      </c>
      <c r="J20" s="4">
        <v>4620</v>
      </c>
      <c r="K20" s="1">
        <v>43953</v>
      </c>
      <c r="L20" s="1">
        <v>43955</v>
      </c>
      <c r="M20" s="4">
        <v>6</v>
      </c>
      <c r="N20" s="7" cm="1">
        <f t="array" ref="N20">_xlfn.IFS(I20="Dell Inspiron 15",66989,I20="Lenovo IdeaPad Slim 3i",34690,I20="Mi NoteBook Ultra",57999,I20="Samsung Galaxy Go",36990,I20="Acer Aspire 3",38980)</f>
        <v>38980</v>
      </c>
      <c r="O20" s="5" t="s">
        <v>1030</v>
      </c>
      <c r="P20" s="1"/>
    </row>
    <row r="21" spans="1:16" x14ac:dyDescent="0.35">
      <c r="A21" s="4">
        <v>20233</v>
      </c>
      <c r="B21" s="5" t="s">
        <v>57</v>
      </c>
      <c r="C21" s="5" t="s">
        <v>58</v>
      </c>
      <c r="D21" s="5" t="s">
        <v>1032</v>
      </c>
      <c r="E21" s="5" t="s">
        <v>1034</v>
      </c>
      <c r="F21" s="5" t="s">
        <v>1011</v>
      </c>
      <c r="G21" s="3" t="s">
        <v>1016</v>
      </c>
      <c r="H21" s="5" t="s">
        <v>59</v>
      </c>
      <c r="I21" s="5" t="s">
        <v>1023</v>
      </c>
      <c r="J21" s="4">
        <v>4644</v>
      </c>
      <c r="K21" s="1">
        <v>43883</v>
      </c>
      <c r="L21" s="1">
        <v>43884</v>
      </c>
      <c r="M21" s="4">
        <v>5</v>
      </c>
      <c r="N21" s="7" cm="1">
        <f t="array" ref="N21">_xlfn.IFS(I21="Dell Inspiron 15",66989,I21="Lenovo IdeaPad Slim 3i",34690,I21="Mi NoteBook Ultra",57999,I21="Samsung Galaxy Go",36990,I21="Acer Aspire 3",38980)</f>
        <v>66989</v>
      </c>
      <c r="O21" s="5" t="s">
        <v>1030</v>
      </c>
      <c r="P21" s="1"/>
    </row>
    <row r="22" spans="1:16" x14ac:dyDescent="0.35">
      <c r="A22" s="4">
        <v>16712</v>
      </c>
      <c r="B22" s="5" t="s">
        <v>60</v>
      </c>
      <c r="C22" s="5" t="s">
        <v>33</v>
      </c>
      <c r="D22" s="5" t="s">
        <v>1032</v>
      </c>
      <c r="E22" s="5" t="s">
        <v>1033</v>
      </c>
      <c r="F22" s="5" t="s">
        <v>1010</v>
      </c>
      <c r="G22" s="3" t="s">
        <v>1015</v>
      </c>
      <c r="H22" s="5" t="s">
        <v>61</v>
      </c>
      <c r="I22" s="5" t="s">
        <v>1024</v>
      </c>
      <c r="J22" s="4">
        <v>4741</v>
      </c>
      <c r="K22" s="1">
        <v>43917</v>
      </c>
      <c r="L22" s="1">
        <v>43918</v>
      </c>
      <c r="M22" s="4">
        <v>9</v>
      </c>
      <c r="N22" s="7" cm="1">
        <f t="array" ref="N22">_xlfn.IFS(I22="Dell Inspiron 15",66989,I22="Lenovo IdeaPad Slim 3i",34690,I22="Mi NoteBook Ultra",57999,I22="Samsung Galaxy Go",36990,I22="Acer Aspire 3",38980)</f>
        <v>34690</v>
      </c>
      <c r="O22" s="5" t="s">
        <v>1030</v>
      </c>
      <c r="P22" s="1"/>
    </row>
    <row r="23" spans="1:16" x14ac:dyDescent="0.35">
      <c r="A23" s="4">
        <v>14932</v>
      </c>
      <c r="B23" s="5" t="s">
        <v>62</v>
      </c>
      <c r="C23" s="5" t="s">
        <v>21</v>
      </c>
      <c r="D23" s="5" t="s">
        <v>1032</v>
      </c>
      <c r="E23" s="5" t="s">
        <v>1035</v>
      </c>
      <c r="F23" s="5" t="s">
        <v>1012</v>
      </c>
      <c r="G23" s="3" t="s">
        <v>1017</v>
      </c>
      <c r="H23" s="5" t="s">
        <v>63</v>
      </c>
      <c r="I23" s="5" t="s">
        <v>1025</v>
      </c>
      <c r="J23" s="4">
        <v>4582</v>
      </c>
      <c r="K23" s="1">
        <v>43850</v>
      </c>
      <c r="L23" s="1">
        <v>43852</v>
      </c>
      <c r="M23" s="4">
        <v>7</v>
      </c>
      <c r="N23" s="7" cm="1">
        <f t="array" ref="N23">_xlfn.IFS(I23="Dell Inspiron 15",66989,I23="Lenovo IdeaPad Slim 3i",34690,I23="Mi NoteBook Ultra",57999,I23="Samsung Galaxy Go",36990,I23="Acer Aspire 3",38980)</f>
        <v>57999</v>
      </c>
      <c r="O23" s="5" t="s">
        <v>1030</v>
      </c>
      <c r="P23" s="1"/>
    </row>
    <row r="24" spans="1:16" x14ac:dyDescent="0.35">
      <c r="A24" s="4">
        <v>18589</v>
      </c>
      <c r="B24" s="5" t="s">
        <v>50</v>
      </c>
      <c r="C24" s="5" t="s">
        <v>64</v>
      </c>
      <c r="D24" s="5" t="s">
        <v>1032</v>
      </c>
      <c r="E24" s="5" t="s">
        <v>1035</v>
      </c>
      <c r="F24" s="5" t="s">
        <v>1012</v>
      </c>
      <c r="G24" s="3" t="s">
        <v>1017</v>
      </c>
      <c r="H24" s="5" t="s">
        <v>65</v>
      </c>
      <c r="I24" s="5" t="s">
        <v>1026</v>
      </c>
      <c r="J24" s="4">
        <v>5466</v>
      </c>
      <c r="K24" s="1">
        <v>43902</v>
      </c>
      <c r="L24" s="1">
        <v>43909</v>
      </c>
      <c r="M24" s="4">
        <v>6</v>
      </c>
      <c r="N24" s="7" cm="1">
        <f t="array" ref="N24">_xlfn.IFS(I24="Dell Inspiron 15",66989,I24="Lenovo IdeaPad Slim 3i",34690,I24="Mi NoteBook Ultra",57999,I24="Samsung Galaxy Go",36990,I24="Acer Aspire 3",38980)</f>
        <v>36990</v>
      </c>
      <c r="O24" s="5" t="s">
        <v>1030</v>
      </c>
      <c r="P24" s="1"/>
    </row>
    <row r="25" spans="1:16" x14ac:dyDescent="0.35">
      <c r="A25" s="4">
        <v>21399</v>
      </c>
      <c r="B25" s="5" t="s">
        <v>66</v>
      </c>
      <c r="C25" s="5" t="s">
        <v>67</v>
      </c>
      <c r="D25" s="5" t="s">
        <v>1032</v>
      </c>
      <c r="E25" s="5" t="s">
        <v>1036</v>
      </c>
      <c r="F25" s="5" t="s">
        <v>1013</v>
      </c>
      <c r="G25" s="3" t="s">
        <v>1018</v>
      </c>
      <c r="H25" s="5" t="s">
        <v>68</v>
      </c>
      <c r="I25" s="5" t="s">
        <v>1027</v>
      </c>
      <c r="J25" s="4">
        <v>5274</v>
      </c>
      <c r="K25" s="1">
        <v>43997</v>
      </c>
      <c r="L25" s="1">
        <v>43999</v>
      </c>
      <c r="M25" s="4">
        <v>10</v>
      </c>
      <c r="N25" s="7" cm="1">
        <f t="array" ref="N25">_xlfn.IFS(I25="Dell Inspiron 15",66989,I25="Lenovo IdeaPad Slim 3i",34690,I25="Mi NoteBook Ultra",57999,I25="Samsung Galaxy Go",36990,I25="Acer Aspire 3",38980)</f>
        <v>38980</v>
      </c>
      <c r="O25" s="5" t="s">
        <v>1030</v>
      </c>
      <c r="P25" s="1"/>
    </row>
    <row r="26" spans="1:16" x14ac:dyDescent="0.35">
      <c r="A26" s="4">
        <v>19322</v>
      </c>
      <c r="B26" s="5" t="s">
        <v>69</v>
      </c>
      <c r="C26" s="5" t="s">
        <v>70</v>
      </c>
      <c r="D26" s="5" t="s">
        <v>1032</v>
      </c>
      <c r="E26" s="5" t="s">
        <v>1036</v>
      </c>
      <c r="F26" s="5" t="s">
        <v>1013</v>
      </c>
      <c r="G26" s="3" t="s">
        <v>1018</v>
      </c>
      <c r="H26" s="5" t="s">
        <v>71</v>
      </c>
      <c r="I26" s="5" t="s">
        <v>1023</v>
      </c>
      <c r="J26" s="4">
        <v>5445</v>
      </c>
      <c r="K26" s="1">
        <v>43997</v>
      </c>
      <c r="L26" s="1">
        <v>43998</v>
      </c>
      <c r="M26" s="4">
        <v>10</v>
      </c>
      <c r="N26" s="7" cm="1">
        <f t="array" ref="N26">_xlfn.IFS(I26="Dell Inspiron 15",66989,I26="Lenovo IdeaPad Slim 3i",34690,I26="Mi NoteBook Ultra",57999,I26="Samsung Galaxy Go",36990,I26="Acer Aspire 3",38980)</f>
        <v>66989</v>
      </c>
      <c r="O26" s="5" t="s">
        <v>1030</v>
      </c>
      <c r="P26" s="1"/>
    </row>
    <row r="27" spans="1:16" x14ac:dyDescent="0.35">
      <c r="A27" s="4">
        <v>15970</v>
      </c>
      <c r="B27" s="5" t="s">
        <v>35</v>
      </c>
      <c r="C27" s="5" t="s">
        <v>72</v>
      </c>
      <c r="D27" s="5" t="s">
        <v>1032</v>
      </c>
      <c r="E27" s="5" t="s">
        <v>1033</v>
      </c>
      <c r="F27" s="5" t="s">
        <v>1010</v>
      </c>
      <c r="G27" s="3" t="s">
        <v>1015</v>
      </c>
      <c r="H27" s="5" t="s">
        <v>73</v>
      </c>
      <c r="I27" s="5" t="s">
        <v>1025</v>
      </c>
      <c r="J27" s="4">
        <v>4701</v>
      </c>
      <c r="K27" s="1">
        <v>43961</v>
      </c>
      <c r="L27" s="1">
        <v>43962</v>
      </c>
      <c r="M27" s="4">
        <v>9</v>
      </c>
      <c r="N27" s="7" cm="1">
        <f t="array" ref="N27">_xlfn.IFS(I27="Dell Inspiron 15",66989,I27="Lenovo IdeaPad Slim 3i",34690,I27="Mi NoteBook Ultra",57999,I27="Samsung Galaxy Go",36990,I27="Acer Aspire 3",38980)</f>
        <v>57999</v>
      </c>
      <c r="O27" s="5" t="s">
        <v>1030</v>
      </c>
      <c r="P27" s="1"/>
    </row>
    <row r="28" spans="1:16" x14ac:dyDescent="0.35">
      <c r="A28" s="4">
        <v>16407</v>
      </c>
      <c r="B28" s="5" t="s">
        <v>74</v>
      </c>
      <c r="C28" s="5" t="s">
        <v>75</v>
      </c>
      <c r="D28" s="5" t="s">
        <v>1032</v>
      </c>
      <c r="E28" s="5" t="s">
        <v>1034</v>
      </c>
      <c r="F28" s="5" t="s">
        <v>1011</v>
      </c>
      <c r="G28" s="3" t="s">
        <v>1016</v>
      </c>
      <c r="H28" s="5" t="s">
        <v>76</v>
      </c>
      <c r="I28" s="5" t="s">
        <v>1027</v>
      </c>
      <c r="J28" s="4">
        <v>5327</v>
      </c>
      <c r="K28" s="1">
        <v>43900</v>
      </c>
      <c r="L28" s="1">
        <v>43900</v>
      </c>
      <c r="M28" s="4">
        <v>6</v>
      </c>
      <c r="N28" s="7" cm="1">
        <f t="array" ref="N28">_xlfn.IFS(I28="Dell Inspiron 15",66989,I28="Lenovo IdeaPad Slim 3i",34690,I28="Mi NoteBook Ultra",57999,I28="Samsung Galaxy Go",36990,I28="Acer Aspire 3",38980)</f>
        <v>38980</v>
      </c>
      <c r="O28" s="5" t="s">
        <v>1030</v>
      </c>
      <c r="P28" s="1"/>
    </row>
    <row r="29" spans="1:16" x14ac:dyDescent="0.35">
      <c r="A29" s="4">
        <v>12827</v>
      </c>
      <c r="B29" s="5" t="s">
        <v>77</v>
      </c>
      <c r="C29" s="5" t="s">
        <v>78</v>
      </c>
      <c r="D29" s="5" t="s">
        <v>1032</v>
      </c>
      <c r="E29" s="5" t="s">
        <v>1033</v>
      </c>
      <c r="F29" s="5" t="s">
        <v>1010</v>
      </c>
      <c r="G29" s="3" t="s">
        <v>1015</v>
      </c>
      <c r="H29" s="5" t="s">
        <v>79</v>
      </c>
      <c r="I29" s="5" t="s">
        <v>1023</v>
      </c>
      <c r="J29" s="4">
        <v>4580</v>
      </c>
      <c r="K29" s="1">
        <v>43858</v>
      </c>
      <c r="L29" s="1">
        <v>43860</v>
      </c>
      <c r="M29" s="4">
        <v>10</v>
      </c>
      <c r="N29" s="7" cm="1">
        <f t="array" ref="N29">_xlfn.IFS(I29="Dell Inspiron 15",66989,I29="Lenovo IdeaPad Slim 3i",34690,I29="Mi NoteBook Ultra",57999,I29="Samsung Galaxy Go",36990,I29="Acer Aspire 3",38980)</f>
        <v>66989</v>
      </c>
      <c r="O29" s="5" t="s">
        <v>1030</v>
      </c>
      <c r="P29" s="1"/>
    </row>
    <row r="30" spans="1:16" x14ac:dyDescent="0.35">
      <c r="A30" s="4">
        <v>20694</v>
      </c>
      <c r="B30" s="5" t="s">
        <v>80</v>
      </c>
      <c r="C30" s="5" t="s">
        <v>81</v>
      </c>
      <c r="D30" s="5" t="s">
        <v>1032</v>
      </c>
      <c r="E30" s="5" t="s">
        <v>1035</v>
      </c>
      <c r="F30" s="5" t="s">
        <v>1012</v>
      </c>
      <c r="G30" s="3" t="s">
        <v>1017</v>
      </c>
      <c r="H30" s="5" t="s">
        <v>82</v>
      </c>
      <c r="I30" s="5" t="s">
        <v>1024</v>
      </c>
      <c r="J30" s="4">
        <v>4946</v>
      </c>
      <c r="K30" s="1">
        <v>43900</v>
      </c>
      <c r="L30" s="1">
        <v>43901</v>
      </c>
      <c r="M30" s="4">
        <v>3</v>
      </c>
      <c r="N30" s="7" cm="1">
        <f t="array" ref="N30">_xlfn.IFS(I30="Dell Inspiron 15",66989,I30="Lenovo IdeaPad Slim 3i",34690,I30="Mi NoteBook Ultra",57999,I30="Samsung Galaxy Go",36990,I30="Acer Aspire 3",38980)</f>
        <v>34690</v>
      </c>
      <c r="O30" s="5" t="s">
        <v>1030</v>
      </c>
      <c r="P30" s="1"/>
    </row>
    <row r="31" spans="1:16" x14ac:dyDescent="0.35">
      <c r="A31" s="4">
        <v>14837</v>
      </c>
      <c r="B31" s="5" t="s">
        <v>83</v>
      </c>
      <c r="C31" s="5" t="s">
        <v>72</v>
      </c>
      <c r="D31" s="5" t="s">
        <v>1032</v>
      </c>
      <c r="E31" s="5" t="s">
        <v>1035</v>
      </c>
      <c r="F31" s="5" t="s">
        <v>1012</v>
      </c>
      <c r="G31" s="3" t="s">
        <v>1017</v>
      </c>
      <c r="H31" s="5" t="s">
        <v>84</v>
      </c>
      <c r="I31" s="5" t="s">
        <v>1026</v>
      </c>
      <c r="J31" s="4">
        <v>5356</v>
      </c>
      <c r="K31" s="1">
        <v>43941</v>
      </c>
      <c r="L31" s="1">
        <v>43942</v>
      </c>
      <c r="M31" s="4">
        <v>1</v>
      </c>
      <c r="N31" s="7" cm="1">
        <f t="array" ref="N31">_xlfn.IFS(I31="Dell Inspiron 15",66989,I31="Lenovo IdeaPad Slim 3i",34690,I31="Mi NoteBook Ultra",57999,I31="Samsung Galaxy Go",36990,I31="Acer Aspire 3",38980)</f>
        <v>36990</v>
      </c>
      <c r="O31" s="5" t="s">
        <v>1030</v>
      </c>
      <c r="P31" s="1"/>
    </row>
    <row r="32" spans="1:16" x14ac:dyDescent="0.35">
      <c r="A32" s="4">
        <v>18465</v>
      </c>
      <c r="B32" s="5" t="s">
        <v>85</v>
      </c>
      <c r="C32" s="5" t="s">
        <v>86</v>
      </c>
      <c r="D32" s="5" t="s">
        <v>1032</v>
      </c>
      <c r="E32" s="5" t="s">
        <v>1036</v>
      </c>
      <c r="F32" s="5" t="s">
        <v>1013</v>
      </c>
      <c r="G32" s="3" t="s">
        <v>1018</v>
      </c>
      <c r="H32" s="5" t="s">
        <v>87</v>
      </c>
      <c r="I32" s="5" t="s">
        <v>1023</v>
      </c>
      <c r="J32" s="4">
        <v>5322</v>
      </c>
      <c r="K32" s="1">
        <v>43941</v>
      </c>
      <c r="L32" s="1">
        <v>43942</v>
      </c>
      <c r="M32" s="4">
        <v>4</v>
      </c>
      <c r="N32" s="7" cm="1">
        <f t="array" ref="N32">_xlfn.IFS(I32="Dell Inspiron 15",66989,I32="Lenovo IdeaPad Slim 3i",34690,I32="Mi NoteBook Ultra",57999,I32="Samsung Galaxy Go",36990,I32="Acer Aspire 3",38980)</f>
        <v>66989</v>
      </c>
      <c r="O32" s="5" t="s">
        <v>1030</v>
      </c>
      <c r="P32" s="1"/>
    </row>
    <row r="33" spans="1:16" x14ac:dyDescent="0.35">
      <c r="A33" s="4">
        <v>19734</v>
      </c>
      <c r="B33" s="5" t="s">
        <v>74</v>
      </c>
      <c r="C33" s="5" t="s">
        <v>88</v>
      </c>
      <c r="D33" s="5" t="s">
        <v>1032</v>
      </c>
      <c r="E33" s="5" t="s">
        <v>1033</v>
      </c>
      <c r="F33" s="5" t="s">
        <v>1010</v>
      </c>
      <c r="G33" s="3" t="s">
        <v>1015</v>
      </c>
      <c r="H33" s="5" t="s">
        <v>89</v>
      </c>
      <c r="I33" s="5" t="s">
        <v>1027</v>
      </c>
      <c r="J33" s="4">
        <v>4730</v>
      </c>
      <c r="K33" s="1">
        <v>43960</v>
      </c>
      <c r="L33" s="1">
        <v>43962</v>
      </c>
      <c r="M33" s="4">
        <v>5</v>
      </c>
      <c r="N33" s="7" cm="1">
        <f t="array" ref="N33">_xlfn.IFS(I33="Dell Inspiron 15",66989,I33="Lenovo IdeaPad Slim 3i",34690,I33="Mi NoteBook Ultra",57999,I33="Samsung Galaxy Go",36990,I33="Acer Aspire 3",38980)</f>
        <v>38980</v>
      </c>
      <c r="O33" s="5" t="s">
        <v>1030</v>
      </c>
      <c r="P33" s="1"/>
    </row>
    <row r="34" spans="1:16" x14ac:dyDescent="0.35">
      <c r="A34" s="4">
        <v>24154</v>
      </c>
      <c r="B34" s="5" t="s">
        <v>90</v>
      </c>
      <c r="C34" s="5" t="s">
        <v>91</v>
      </c>
      <c r="D34" s="5" t="s">
        <v>1032</v>
      </c>
      <c r="E34" s="5" t="s">
        <v>1034</v>
      </c>
      <c r="F34" s="5" t="s">
        <v>1011</v>
      </c>
      <c r="G34" s="3" t="s">
        <v>1016</v>
      </c>
      <c r="H34" s="5" t="s">
        <v>92</v>
      </c>
      <c r="I34" s="5" t="s">
        <v>1025</v>
      </c>
      <c r="J34" s="4">
        <v>5096</v>
      </c>
      <c r="K34" s="1">
        <v>43994</v>
      </c>
      <c r="L34" s="1">
        <v>43996</v>
      </c>
      <c r="M34" s="4">
        <v>8</v>
      </c>
      <c r="N34" s="7" cm="1">
        <f t="array" ref="N34">_xlfn.IFS(I34="Dell Inspiron 15",66989,I34="Lenovo IdeaPad Slim 3i",34690,I34="Mi NoteBook Ultra",57999,I34="Samsung Galaxy Go",36990,I34="Acer Aspire 3",38980)</f>
        <v>57999</v>
      </c>
      <c r="O34" s="5" t="s">
        <v>1030</v>
      </c>
      <c r="P34" s="1"/>
    </row>
    <row r="35" spans="1:16" x14ac:dyDescent="0.35">
      <c r="A35" s="4">
        <v>20703</v>
      </c>
      <c r="B35" s="5" t="s">
        <v>93</v>
      </c>
      <c r="C35" s="5" t="s">
        <v>48</v>
      </c>
      <c r="D35" s="5" t="s">
        <v>1032</v>
      </c>
      <c r="E35" s="5" t="s">
        <v>1033</v>
      </c>
      <c r="F35" s="5" t="s">
        <v>1010</v>
      </c>
      <c r="G35" s="3" t="s">
        <v>1015</v>
      </c>
      <c r="H35" s="5" t="s">
        <v>94</v>
      </c>
      <c r="I35" s="5" t="s">
        <v>1026</v>
      </c>
      <c r="J35" s="4">
        <v>5064</v>
      </c>
      <c r="K35" s="1">
        <v>43892</v>
      </c>
      <c r="L35" s="1">
        <v>43894</v>
      </c>
      <c r="M35" s="4">
        <v>2</v>
      </c>
      <c r="N35" s="7" cm="1">
        <f t="array" ref="N35">_xlfn.IFS(I35="Dell Inspiron 15",66989,I35="Lenovo IdeaPad Slim 3i",34690,I35="Mi NoteBook Ultra",57999,I35="Samsung Galaxy Go",36990,I35="Acer Aspire 3",38980)</f>
        <v>36990</v>
      </c>
      <c r="O35" s="5" t="s">
        <v>1030</v>
      </c>
      <c r="P35" s="1"/>
    </row>
    <row r="36" spans="1:16" x14ac:dyDescent="0.35">
      <c r="A36" s="4">
        <v>18659</v>
      </c>
      <c r="B36" s="5" t="s">
        <v>95</v>
      </c>
      <c r="C36" s="5" t="s">
        <v>96</v>
      </c>
      <c r="D36" s="5" t="s">
        <v>1032</v>
      </c>
      <c r="E36" s="5" t="s">
        <v>1035</v>
      </c>
      <c r="F36" s="5" t="s">
        <v>1012</v>
      </c>
      <c r="G36" s="3" t="s">
        <v>1017</v>
      </c>
      <c r="H36" s="5" t="s">
        <v>97</v>
      </c>
      <c r="I36" s="5" t="s">
        <v>1027</v>
      </c>
      <c r="J36" s="4">
        <v>4669</v>
      </c>
      <c r="K36" s="1">
        <v>43892</v>
      </c>
      <c r="L36" s="1">
        <v>43892</v>
      </c>
      <c r="M36" s="4">
        <v>3</v>
      </c>
      <c r="N36" s="7" cm="1">
        <f t="array" ref="N36">_xlfn.IFS(I36="Dell Inspiron 15",66989,I36="Lenovo IdeaPad Slim 3i",34690,I36="Mi NoteBook Ultra",57999,I36="Samsung Galaxy Go",36990,I36="Acer Aspire 3",38980)</f>
        <v>38980</v>
      </c>
      <c r="O36" s="5" t="s">
        <v>1030</v>
      </c>
      <c r="P36" s="1"/>
    </row>
    <row r="37" spans="1:16" x14ac:dyDescent="0.35">
      <c r="A37" s="4">
        <v>18001</v>
      </c>
      <c r="B37" s="5" t="s">
        <v>98</v>
      </c>
      <c r="C37" s="5" t="s">
        <v>99</v>
      </c>
      <c r="D37" s="5" t="s">
        <v>1032</v>
      </c>
      <c r="E37" s="5" t="s">
        <v>1035</v>
      </c>
      <c r="F37" s="5" t="s">
        <v>1012</v>
      </c>
      <c r="G37" s="3" t="s">
        <v>1017</v>
      </c>
      <c r="H37" s="5" t="s">
        <v>100</v>
      </c>
      <c r="I37" s="5" t="s">
        <v>1023</v>
      </c>
      <c r="J37" s="4">
        <v>5169</v>
      </c>
      <c r="K37" s="1">
        <v>43832</v>
      </c>
      <c r="L37" s="1">
        <v>43839</v>
      </c>
      <c r="M37" s="4">
        <v>9</v>
      </c>
      <c r="N37" s="7" cm="1">
        <f t="array" ref="N37">_xlfn.IFS(I37="Dell Inspiron 15",66989,I37="Lenovo IdeaPad Slim 3i",34690,I37="Mi NoteBook Ultra",57999,I37="Samsung Galaxy Go",36990,I37="Acer Aspire 3",38980)</f>
        <v>66989</v>
      </c>
      <c r="O37" s="5" t="s">
        <v>1030</v>
      </c>
      <c r="P37" s="1"/>
    </row>
    <row r="38" spans="1:16" x14ac:dyDescent="0.35">
      <c r="A38" s="4">
        <v>25486</v>
      </c>
      <c r="B38" s="5" t="s">
        <v>101</v>
      </c>
      <c r="C38" s="5" t="s">
        <v>102</v>
      </c>
      <c r="D38" s="5" t="s">
        <v>1032</v>
      </c>
      <c r="E38" s="5" t="s">
        <v>1036</v>
      </c>
      <c r="F38" s="5" t="s">
        <v>1013</v>
      </c>
      <c r="G38" s="3" t="s">
        <v>1018</v>
      </c>
      <c r="H38" s="5" t="s">
        <v>103</v>
      </c>
      <c r="I38" s="5" t="s">
        <v>1025</v>
      </c>
      <c r="J38" s="4">
        <v>5514</v>
      </c>
      <c r="K38" s="1">
        <v>43832</v>
      </c>
      <c r="L38" s="1">
        <v>43832</v>
      </c>
      <c r="M38" s="4">
        <v>8</v>
      </c>
      <c r="N38" s="7" cm="1">
        <f t="array" ref="N38">_xlfn.IFS(I38="Dell Inspiron 15",66989,I38="Lenovo IdeaPad Slim 3i",34690,I38="Mi NoteBook Ultra",57999,I38="Samsung Galaxy Go",36990,I38="Acer Aspire 3",38980)</f>
        <v>57999</v>
      </c>
      <c r="O38" s="5" t="s">
        <v>1030</v>
      </c>
      <c r="P38" s="1"/>
    </row>
    <row r="39" spans="1:16" x14ac:dyDescent="0.35">
      <c r="A39" s="4">
        <v>22683</v>
      </c>
      <c r="B39" s="5" t="s">
        <v>104</v>
      </c>
      <c r="C39" s="5" t="s">
        <v>75</v>
      </c>
      <c r="D39" s="5" t="s">
        <v>1032</v>
      </c>
      <c r="E39" s="5" t="s">
        <v>1033</v>
      </c>
      <c r="F39" s="5" t="s">
        <v>1010</v>
      </c>
      <c r="G39" s="3" t="s">
        <v>1015</v>
      </c>
      <c r="H39" s="5" t="s">
        <v>105</v>
      </c>
      <c r="I39" s="5" t="s">
        <v>1027</v>
      </c>
      <c r="J39" s="4">
        <v>4614</v>
      </c>
      <c r="K39" s="1">
        <v>43832</v>
      </c>
      <c r="L39" s="1">
        <v>43834</v>
      </c>
      <c r="M39" s="4">
        <v>10</v>
      </c>
      <c r="N39" s="7" cm="1">
        <f t="array" ref="N39">_xlfn.IFS(I39="Dell Inspiron 15",66989,I39="Lenovo IdeaPad Slim 3i",34690,I39="Mi NoteBook Ultra",57999,I39="Samsung Galaxy Go",36990,I39="Acer Aspire 3",38980)</f>
        <v>38980</v>
      </c>
      <c r="O39" s="5" t="s">
        <v>1030</v>
      </c>
      <c r="P39" s="1"/>
    </row>
    <row r="40" spans="1:16" x14ac:dyDescent="0.35">
      <c r="A40" s="4">
        <v>24252</v>
      </c>
      <c r="B40" s="5" t="s">
        <v>62</v>
      </c>
      <c r="C40" s="5" t="s">
        <v>106</v>
      </c>
      <c r="D40" s="5" t="s">
        <v>1032</v>
      </c>
      <c r="E40" s="5" t="s">
        <v>1034</v>
      </c>
      <c r="F40" s="5" t="s">
        <v>1011</v>
      </c>
      <c r="G40" s="3" t="s">
        <v>1016</v>
      </c>
      <c r="H40" s="5" t="s">
        <v>107</v>
      </c>
      <c r="I40" s="5" t="s">
        <v>1023</v>
      </c>
      <c r="J40" s="4">
        <v>5508</v>
      </c>
      <c r="K40" s="1">
        <v>43832</v>
      </c>
      <c r="L40" s="1">
        <v>43839</v>
      </c>
      <c r="M40" s="4">
        <v>2</v>
      </c>
      <c r="N40" s="7" cm="1">
        <f t="array" ref="N40">_xlfn.IFS(I40="Dell Inspiron 15",66989,I40="Lenovo IdeaPad Slim 3i",34690,I40="Mi NoteBook Ultra",57999,I40="Samsung Galaxy Go",36990,I40="Acer Aspire 3",38980)</f>
        <v>66989</v>
      </c>
      <c r="O40" s="5" t="s">
        <v>1030</v>
      </c>
      <c r="P40" s="1"/>
    </row>
    <row r="41" spans="1:16" x14ac:dyDescent="0.35">
      <c r="A41" s="4">
        <v>22872</v>
      </c>
      <c r="B41" s="5" t="s">
        <v>44</v>
      </c>
      <c r="C41" s="5" t="s">
        <v>108</v>
      </c>
      <c r="D41" s="5" t="s">
        <v>1032</v>
      </c>
      <c r="E41" s="5" t="s">
        <v>1033</v>
      </c>
      <c r="F41" s="5" t="s">
        <v>1010</v>
      </c>
      <c r="G41" s="3" t="s">
        <v>1015</v>
      </c>
      <c r="H41" s="5" t="s">
        <v>109</v>
      </c>
      <c r="I41" s="5" t="s">
        <v>1024</v>
      </c>
      <c r="J41" s="4">
        <v>5386</v>
      </c>
      <c r="K41" s="1">
        <v>43863</v>
      </c>
      <c r="L41" s="1">
        <v>43865</v>
      </c>
      <c r="M41" s="4">
        <v>8</v>
      </c>
      <c r="N41" s="7" cm="1">
        <f t="array" ref="N41">_xlfn.IFS(I41="Dell Inspiron 15",66989,I41="Lenovo IdeaPad Slim 3i",34690,I41="Mi NoteBook Ultra",57999,I41="Samsung Galaxy Go",36990,I41="Acer Aspire 3",38980)</f>
        <v>34690</v>
      </c>
      <c r="O41" s="5" t="s">
        <v>1030</v>
      </c>
      <c r="P41" s="1"/>
    </row>
    <row r="42" spans="1:16" x14ac:dyDescent="0.35">
      <c r="A42" s="4">
        <v>13324</v>
      </c>
      <c r="B42" s="5" t="s">
        <v>110</v>
      </c>
      <c r="C42" s="5" t="s">
        <v>111</v>
      </c>
      <c r="D42" s="5" t="s">
        <v>1032</v>
      </c>
      <c r="E42" s="5" t="s">
        <v>1035</v>
      </c>
      <c r="F42" s="5" t="s">
        <v>1012</v>
      </c>
      <c r="G42" s="3" t="s">
        <v>1017</v>
      </c>
      <c r="H42" s="5" t="s">
        <v>112</v>
      </c>
      <c r="I42" s="5" t="s">
        <v>1023</v>
      </c>
      <c r="J42" s="4">
        <v>4582</v>
      </c>
      <c r="K42" s="1">
        <v>43863</v>
      </c>
      <c r="L42" s="1">
        <v>43865</v>
      </c>
      <c r="M42" s="4">
        <v>5</v>
      </c>
      <c r="N42" s="7" cm="1">
        <f t="array" ref="N42">_xlfn.IFS(I42="Dell Inspiron 15",66989,I42="Lenovo IdeaPad Slim 3i",34690,I42="Mi NoteBook Ultra",57999,I42="Samsung Galaxy Go",36990,I42="Acer Aspire 3",38980)</f>
        <v>66989</v>
      </c>
      <c r="O42" s="5" t="s">
        <v>1030</v>
      </c>
      <c r="P42" s="1"/>
    </row>
    <row r="43" spans="1:16" x14ac:dyDescent="0.35">
      <c r="A43" s="4">
        <v>20849</v>
      </c>
      <c r="B43" s="5" t="s">
        <v>113</v>
      </c>
      <c r="C43" s="5" t="s">
        <v>114</v>
      </c>
      <c r="D43" s="5" t="s">
        <v>1032</v>
      </c>
      <c r="E43" s="5" t="s">
        <v>1035</v>
      </c>
      <c r="F43" s="5" t="s">
        <v>1012</v>
      </c>
      <c r="G43" s="3" t="s">
        <v>1017</v>
      </c>
      <c r="H43" s="5" t="s">
        <v>115</v>
      </c>
      <c r="I43" s="5" t="s">
        <v>1024</v>
      </c>
      <c r="J43" s="4">
        <v>5057</v>
      </c>
      <c r="K43" s="1">
        <v>43905</v>
      </c>
      <c r="L43" s="1">
        <v>43905</v>
      </c>
      <c r="M43" s="4">
        <v>7</v>
      </c>
      <c r="N43" s="7" cm="1">
        <f t="array" ref="N43">_xlfn.IFS(I43="Dell Inspiron 15",66989,I43="Lenovo IdeaPad Slim 3i",34690,I43="Mi NoteBook Ultra",57999,I43="Samsung Galaxy Go",36990,I43="Acer Aspire 3",38980)</f>
        <v>34690</v>
      </c>
      <c r="O43" s="5" t="s">
        <v>1030</v>
      </c>
      <c r="P43" s="1"/>
    </row>
    <row r="44" spans="1:16" x14ac:dyDescent="0.35">
      <c r="A44" s="4">
        <v>25549</v>
      </c>
      <c r="B44" s="5" t="s">
        <v>116</v>
      </c>
      <c r="C44" s="5" t="s">
        <v>117</v>
      </c>
      <c r="D44" s="5" t="s">
        <v>1032</v>
      </c>
      <c r="E44" s="5" t="s">
        <v>1034</v>
      </c>
      <c r="F44" s="5" t="s">
        <v>1011</v>
      </c>
      <c r="G44" s="3" t="s">
        <v>1016</v>
      </c>
      <c r="H44" s="5" t="s">
        <v>118</v>
      </c>
      <c r="I44" s="5" t="s">
        <v>1025</v>
      </c>
      <c r="J44" s="4">
        <v>4854</v>
      </c>
      <c r="K44" s="1">
        <v>43863</v>
      </c>
      <c r="L44" s="1">
        <v>43864</v>
      </c>
      <c r="M44" s="4">
        <v>6</v>
      </c>
      <c r="N44" s="7" cm="1">
        <f t="array" ref="N44">_xlfn.IFS(I44="Dell Inspiron 15",66989,I44="Lenovo IdeaPad Slim 3i",34690,I44="Mi NoteBook Ultra",57999,I44="Samsung Galaxy Go",36990,I44="Acer Aspire 3",38980)</f>
        <v>57999</v>
      </c>
      <c r="O44" s="5" t="s">
        <v>1030</v>
      </c>
      <c r="P44" s="1"/>
    </row>
    <row r="45" spans="1:16" x14ac:dyDescent="0.35">
      <c r="A45" s="4">
        <v>23288</v>
      </c>
      <c r="B45" s="5" t="s">
        <v>57</v>
      </c>
      <c r="C45" s="5" t="s">
        <v>119</v>
      </c>
      <c r="D45" s="5" t="s">
        <v>1032</v>
      </c>
      <c r="E45" s="5" t="s">
        <v>1033</v>
      </c>
      <c r="F45" s="5" t="s">
        <v>1010</v>
      </c>
      <c r="G45" s="3" t="s">
        <v>1015</v>
      </c>
      <c r="H45" s="5" t="s">
        <v>120</v>
      </c>
      <c r="I45" s="5" t="s">
        <v>1026</v>
      </c>
      <c r="J45" s="4">
        <v>4901</v>
      </c>
      <c r="K45" s="1">
        <v>43920</v>
      </c>
      <c r="L45" s="1">
        <v>43923</v>
      </c>
      <c r="M45" s="4">
        <v>3</v>
      </c>
      <c r="N45" s="7" cm="1">
        <f t="array" ref="N45">_xlfn.IFS(I45="Dell Inspiron 15",66989,I45="Lenovo IdeaPad Slim 3i",34690,I45="Mi NoteBook Ultra",57999,I45="Samsung Galaxy Go",36990,I45="Acer Aspire 3",38980)</f>
        <v>36990</v>
      </c>
      <c r="O45" s="5" t="s">
        <v>1030</v>
      </c>
      <c r="P45" s="1"/>
    </row>
    <row r="46" spans="1:16" x14ac:dyDescent="0.35">
      <c r="A46" s="4">
        <v>22066</v>
      </c>
      <c r="B46" s="5" t="s">
        <v>121</v>
      </c>
      <c r="C46" s="5" t="s">
        <v>106</v>
      </c>
      <c r="D46" s="5" t="s">
        <v>1032</v>
      </c>
      <c r="E46" s="5" t="s">
        <v>1035</v>
      </c>
      <c r="F46" s="5" t="s">
        <v>1012</v>
      </c>
      <c r="G46" s="3" t="s">
        <v>1017</v>
      </c>
      <c r="H46" s="5" t="s">
        <v>122</v>
      </c>
      <c r="I46" s="5" t="s">
        <v>1027</v>
      </c>
      <c r="J46" s="4">
        <v>4705</v>
      </c>
      <c r="K46" s="1">
        <v>43985</v>
      </c>
      <c r="L46" s="1">
        <v>43990</v>
      </c>
      <c r="M46" s="4">
        <v>3</v>
      </c>
      <c r="N46" s="7" cm="1">
        <f t="array" ref="N46">_xlfn.IFS(I46="Dell Inspiron 15",66989,I46="Lenovo IdeaPad Slim 3i",34690,I46="Mi NoteBook Ultra",57999,I46="Samsung Galaxy Go",36990,I46="Acer Aspire 3",38980)</f>
        <v>38980</v>
      </c>
      <c r="O46" s="5" t="s">
        <v>1030</v>
      </c>
      <c r="P46" s="1"/>
    </row>
    <row r="47" spans="1:16" x14ac:dyDescent="0.35">
      <c r="A47" s="4">
        <v>18456</v>
      </c>
      <c r="B47" s="5" t="s">
        <v>123</v>
      </c>
      <c r="C47" s="5" t="s">
        <v>124</v>
      </c>
      <c r="D47" s="5" t="s">
        <v>1032</v>
      </c>
      <c r="E47" s="5" t="s">
        <v>1035</v>
      </c>
      <c r="F47" s="5" t="s">
        <v>1012</v>
      </c>
      <c r="G47" s="3" t="s">
        <v>1017</v>
      </c>
      <c r="H47" s="5" t="s">
        <v>125</v>
      </c>
      <c r="I47" s="5" t="s">
        <v>1023</v>
      </c>
      <c r="J47" s="4">
        <v>4574</v>
      </c>
      <c r="K47" s="1">
        <v>43912</v>
      </c>
      <c r="L47" s="1">
        <v>43913</v>
      </c>
      <c r="M47" s="4">
        <v>5</v>
      </c>
      <c r="N47" s="7" cm="1">
        <f t="array" ref="N47">_xlfn.IFS(I47="Dell Inspiron 15",66989,I47="Lenovo IdeaPad Slim 3i",34690,I47="Mi NoteBook Ultra",57999,I47="Samsung Galaxy Go",36990,I47="Acer Aspire 3",38980)</f>
        <v>66989</v>
      </c>
      <c r="O47" s="5" t="s">
        <v>1030</v>
      </c>
      <c r="P47" s="1"/>
    </row>
    <row r="48" spans="1:16" x14ac:dyDescent="0.35">
      <c r="A48" s="4">
        <v>16268</v>
      </c>
      <c r="B48" s="5" t="s">
        <v>41</v>
      </c>
      <c r="C48" s="5" t="s">
        <v>126</v>
      </c>
      <c r="D48" s="5" t="s">
        <v>1032</v>
      </c>
      <c r="E48" s="5" t="s">
        <v>1036</v>
      </c>
      <c r="F48" s="5" t="s">
        <v>1013</v>
      </c>
      <c r="G48" s="3" t="s">
        <v>1018</v>
      </c>
      <c r="H48" s="5" t="s">
        <v>127</v>
      </c>
      <c r="I48" s="5" t="s">
        <v>1025</v>
      </c>
      <c r="J48" s="4">
        <v>4803</v>
      </c>
      <c r="K48" s="1">
        <v>43912</v>
      </c>
      <c r="L48" s="1">
        <v>43915</v>
      </c>
      <c r="M48" s="4">
        <v>10</v>
      </c>
      <c r="N48" s="7" cm="1">
        <f t="array" ref="N48">_xlfn.IFS(I48="Dell Inspiron 15",66989,I48="Lenovo IdeaPad Slim 3i",34690,I48="Mi NoteBook Ultra",57999,I48="Samsung Galaxy Go",36990,I48="Acer Aspire 3",38980)</f>
        <v>57999</v>
      </c>
      <c r="O48" s="5" t="s">
        <v>1030</v>
      </c>
      <c r="P48" s="1"/>
    </row>
    <row r="49" spans="1:16" x14ac:dyDescent="0.35">
      <c r="A49" s="4">
        <v>13680</v>
      </c>
      <c r="B49" s="5" t="s">
        <v>128</v>
      </c>
      <c r="C49" s="5" t="s">
        <v>129</v>
      </c>
      <c r="D49" s="5" t="s">
        <v>1032</v>
      </c>
      <c r="E49" s="5" t="s">
        <v>1033</v>
      </c>
      <c r="F49" s="5" t="s">
        <v>1010</v>
      </c>
      <c r="G49" s="3" t="s">
        <v>1015</v>
      </c>
      <c r="H49" s="5" t="s">
        <v>130</v>
      </c>
      <c r="I49" s="5" t="s">
        <v>1027</v>
      </c>
      <c r="J49" s="4">
        <v>5188</v>
      </c>
      <c r="K49" s="1">
        <v>43968</v>
      </c>
      <c r="L49" s="1">
        <v>43969</v>
      </c>
      <c r="M49" s="4">
        <v>10</v>
      </c>
      <c r="N49" s="7" cm="1">
        <f t="array" ref="N49">_xlfn.IFS(I49="Dell Inspiron 15",66989,I49="Lenovo IdeaPad Slim 3i",34690,I49="Mi NoteBook Ultra",57999,I49="Samsung Galaxy Go",36990,I49="Acer Aspire 3",38980)</f>
        <v>38980</v>
      </c>
      <c r="O49" s="5" t="s">
        <v>1030</v>
      </c>
      <c r="P49" s="1"/>
    </row>
    <row r="50" spans="1:16" x14ac:dyDescent="0.35">
      <c r="A50" s="4">
        <v>17050</v>
      </c>
      <c r="B50" s="5" t="s">
        <v>131</v>
      </c>
      <c r="C50" s="5" t="s">
        <v>39</v>
      </c>
      <c r="D50" s="5" t="s">
        <v>1032</v>
      </c>
      <c r="E50" s="5" t="s">
        <v>1034</v>
      </c>
      <c r="F50" s="5" t="s">
        <v>1011</v>
      </c>
      <c r="G50" s="3" t="s">
        <v>1016</v>
      </c>
      <c r="H50" s="5" t="s">
        <v>132</v>
      </c>
      <c r="I50" s="5" t="s">
        <v>1023</v>
      </c>
      <c r="J50" s="4">
        <v>5184</v>
      </c>
      <c r="K50" s="1">
        <v>43879</v>
      </c>
      <c r="L50" s="1">
        <v>43881</v>
      </c>
      <c r="M50" s="4">
        <v>1</v>
      </c>
      <c r="N50" s="7" cm="1">
        <f t="array" ref="N50">_xlfn.IFS(I50="Dell Inspiron 15",66989,I50="Lenovo IdeaPad Slim 3i",34690,I50="Mi NoteBook Ultra",57999,I50="Samsung Galaxy Go",36990,I50="Acer Aspire 3",38980)</f>
        <v>66989</v>
      </c>
      <c r="O50" s="5" t="s">
        <v>1030</v>
      </c>
      <c r="P50" s="1"/>
    </row>
    <row r="51" spans="1:16" x14ac:dyDescent="0.35">
      <c r="A51" s="4">
        <v>15729</v>
      </c>
      <c r="B51" s="5" t="s">
        <v>48</v>
      </c>
      <c r="C51" s="5" t="s">
        <v>64</v>
      </c>
      <c r="D51" s="5" t="s">
        <v>1032</v>
      </c>
      <c r="E51" s="5" t="s">
        <v>1033</v>
      </c>
      <c r="F51" s="5" t="s">
        <v>1010</v>
      </c>
      <c r="G51" s="3" t="s">
        <v>1015</v>
      </c>
      <c r="H51" s="5" t="s">
        <v>133</v>
      </c>
      <c r="I51" s="5" t="s">
        <v>1024</v>
      </c>
      <c r="J51" s="4">
        <v>4538</v>
      </c>
      <c r="K51" s="1">
        <v>43894</v>
      </c>
      <c r="L51" s="1">
        <v>43896</v>
      </c>
      <c r="M51" s="4">
        <v>8</v>
      </c>
      <c r="N51" s="7" cm="1">
        <f t="array" ref="N51">_xlfn.IFS(I51="Dell Inspiron 15",66989,I51="Lenovo IdeaPad Slim 3i",34690,I51="Mi NoteBook Ultra",57999,I51="Samsung Galaxy Go",36990,I51="Acer Aspire 3",38980)</f>
        <v>34690</v>
      </c>
      <c r="O51" s="5" t="s">
        <v>1030</v>
      </c>
      <c r="P51" s="1"/>
    </row>
    <row r="52" spans="1:16" x14ac:dyDescent="0.35">
      <c r="A52" s="4">
        <v>14463</v>
      </c>
      <c r="B52" s="5" t="s">
        <v>134</v>
      </c>
      <c r="C52" s="5" t="s">
        <v>135</v>
      </c>
      <c r="D52" s="5" t="s">
        <v>1032</v>
      </c>
      <c r="E52" s="5" t="s">
        <v>1035</v>
      </c>
      <c r="F52" s="5" t="s">
        <v>1012</v>
      </c>
      <c r="G52" s="3" t="s">
        <v>1017</v>
      </c>
      <c r="H52" s="5" t="s">
        <v>136</v>
      </c>
      <c r="I52" s="5" t="s">
        <v>1026</v>
      </c>
      <c r="J52" s="4">
        <v>5091</v>
      </c>
      <c r="K52" s="1">
        <v>43968</v>
      </c>
      <c r="L52" s="1">
        <v>43970</v>
      </c>
      <c r="M52" s="4">
        <v>5</v>
      </c>
      <c r="N52" s="7" cm="1">
        <f t="array" ref="N52">_xlfn.IFS(I52="Dell Inspiron 15",66989,I52="Lenovo IdeaPad Slim 3i",34690,I52="Mi NoteBook Ultra",57999,I52="Samsung Galaxy Go",36990,I52="Acer Aspire 3",38980)</f>
        <v>36990</v>
      </c>
      <c r="O52" s="5" t="s">
        <v>1030</v>
      </c>
      <c r="P52" s="1"/>
    </row>
    <row r="53" spans="1:16" x14ac:dyDescent="0.35">
      <c r="A53" s="4">
        <v>21779</v>
      </c>
      <c r="B53" s="5" t="s">
        <v>98</v>
      </c>
      <c r="C53" s="5" t="s">
        <v>137</v>
      </c>
      <c r="D53" s="5" t="s">
        <v>1032</v>
      </c>
      <c r="E53" s="5" t="s">
        <v>1035</v>
      </c>
      <c r="F53" s="5" t="s">
        <v>1012</v>
      </c>
      <c r="G53" s="3" t="s">
        <v>1017</v>
      </c>
      <c r="H53" s="5" t="s">
        <v>138</v>
      </c>
      <c r="I53" s="5" t="s">
        <v>1023</v>
      </c>
      <c r="J53" s="4">
        <v>4669</v>
      </c>
      <c r="K53" s="1">
        <v>43968</v>
      </c>
      <c r="L53" s="1">
        <v>43969</v>
      </c>
      <c r="M53" s="4">
        <v>6</v>
      </c>
      <c r="N53" s="7" cm="1">
        <f t="array" ref="N53">_xlfn.IFS(I53="Dell Inspiron 15",66989,I53="Lenovo IdeaPad Slim 3i",34690,I53="Mi NoteBook Ultra",57999,I53="Samsung Galaxy Go",36990,I53="Acer Aspire 3",38980)</f>
        <v>66989</v>
      </c>
      <c r="O53" s="5" t="s">
        <v>1030</v>
      </c>
      <c r="P53" s="1"/>
    </row>
    <row r="54" spans="1:16" x14ac:dyDescent="0.35">
      <c r="A54" s="4">
        <v>13905</v>
      </c>
      <c r="B54" s="5" t="s">
        <v>139</v>
      </c>
      <c r="C54" s="5" t="s">
        <v>140</v>
      </c>
      <c r="D54" s="5" t="s">
        <v>1032</v>
      </c>
      <c r="E54" s="5" t="s">
        <v>1036</v>
      </c>
      <c r="F54" s="5" t="s">
        <v>1013</v>
      </c>
      <c r="G54" s="3" t="s">
        <v>1018</v>
      </c>
      <c r="H54" s="5" t="s">
        <v>141</v>
      </c>
      <c r="I54" s="5" t="s">
        <v>1027</v>
      </c>
      <c r="J54" s="4">
        <v>5182</v>
      </c>
      <c r="K54" s="1">
        <v>43989</v>
      </c>
      <c r="L54" s="1">
        <v>43991</v>
      </c>
      <c r="M54" s="4">
        <v>2</v>
      </c>
      <c r="N54" s="7" cm="1">
        <f t="array" ref="N54">_xlfn.IFS(I54="Dell Inspiron 15",66989,I54="Lenovo IdeaPad Slim 3i",34690,I54="Mi NoteBook Ultra",57999,I54="Samsung Galaxy Go",36990,I54="Acer Aspire 3",38980)</f>
        <v>38980</v>
      </c>
      <c r="O54" s="5" t="s">
        <v>1030</v>
      </c>
      <c r="P54" s="1"/>
    </row>
    <row r="55" spans="1:16" x14ac:dyDescent="0.35">
      <c r="A55" s="4">
        <v>20401</v>
      </c>
      <c r="B55" s="5" t="s">
        <v>142</v>
      </c>
      <c r="C55" s="5" t="s">
        <v>143</v>
      </c>
      <c r="D55" s="5" t="s">
        <v>1032</v>
      </c>
      <c r="E55" s="5" t="s">
        <v>1033</v>
      </c>
      <c r="F55" s="5" t="s">
        <v>1010</v>
      </c>
      <c r="G55" s="3" t="s">
        <v>1015</v>
      </c>
      <c r="H55" s="5" t="s">
        <v>144</v>
      </c>
      <c r="I55" s="5" t="s">
        <v>1025</v>
      </c>
      <c r="J55" s="4">
        <v>4690</v>
      </c>
      <c r="K55" s="1">
        <v>43954</v>
      </c>
      <c r="L55" s="1">
        <v>43956</v>
      </c>
      <c r="M55" s="4">
        <v>10</v>
      </c>
      <c r="N55" s="7" cm="1">
        <f t="array" ref="N55">_xlfn.IFS(I55="Dell Inspiron 15",66989,I55="Lenovo IdeaPad Slim 3i",34690,I55="Mi NoteBook Ultra",57999,I55="Samsung Galaxy Go",36990,I55="Acer Aspire 3",38980)</f>
        <v>57999</v>
      </c>
      <c r="O55" s="5" t="s">
        <v>1030</v>
      </c>
      <c r="P55" s="1"/>
    </row>
    <row r="56" spans="1:16" x14ac:dyDescent="0.35">
      <c r="A56" s="4">
        <v>13895</v>
      </c>
      <c r="B56" s="5" t="s">
        <v>52</v>
      </c>
      <c r="C56" s="5" t="s">
        <v>137</v>
      </c>
      <c r="D56" s="5" t="s">
        <v>1032</v>
      </c>
      <c r="E56" s="5" t="s">
        <v>1034</v>
      </c>
      <c r="F56" s="5" t="s">
        <v>1011</v>
      </c>
      <c r="G56" s="3" t="s">
        <v>1016</v>
      </c>
      <c r="H56" s="5" t="s">
        <v>145</v>
      </c>
      <c r="I56" s="5" t="s">
        <v>1026</v>
      </c>
      <c r="J56" s="4">
        <v>5296</v>
      </c>
      <c r="K56" s="1">
        <v>43954</v>
      </c>
      <c r="L56" s="1">
        <v>43956</v>
      </c>
      <c r="M56" s="4">
        <v>8</v>
      </c>
      <c r="N56" s="7" cm="1">
        <f t="array" ref="N56">_xlfn.IFS(I56="Dell Inspiron 15",66989,I56="Lenovo IdeaPad Slim 3i",34690,I56="Mi NoteBook Ultra",57999,I56="Samsung Galaxy Go",36990,I56="Acer Aspire 3",38980)</f>
        <v>36990</v>
      </c>
      <c r="O56" s="5" t="s">
        <v>1030</v>
      </c>
      <c r="P56" s="1"/>
    </row>
    <row r="57" spans="1:16" x14ac:dyDescent="0.35">
      <c r="A57" s="4">
        <v>23212</v>
      </c>
      <c r="B57" s="5" t="s">
        <v>146</v>
      </c>
      <c r="C57" s="5" t="s">
        <v>86</v>
      </c>
      <c r="D57" s="5" t="s">
        <v>1032</v>
      </c>
      <c r="E57" s="5" t="s">
        <v>1033</v>
      </c>
      <c r="F57" s="5" t="s">
        <v>1010</v>
      </c>
      <c r="G57" s="3" t="s">
        <v>1015</v>
      </c>
      <c r="H57" s="5" t="s">
        <v>147</v>
      </c>
      <c r="I57" s="5" t="s">
        <v>1027</v>
      </c>
      <c r="J57" s="4">
        <v>5491</v>
      </c>
      <c r="K57" s="1">
        <v>43954</v>
      </c>
      <c r="L57" s="1">
        <v>43956</v>
      </c>
      <c r="M57" s="4">
        <v>3</v>
      </c>
      <c r="N57" s="7" cm="1">
        <f t="array" ref="N57">_xlfn.IFS(I57="Dell Inspiron 15",66989,I57="Lenovo IdeaPad Slim 3i",34690,I57="Mi NoteBook Ultra",57999,I57="Samsung Galaxy Go",36990,I57="Acer Aspire 3",38980)</f>
        <v>38980</v>
      </c>
      <c r="O57" s="5" t="s">
        <v>1030</v>
      </c>
      <c r="P57" s="1"/>
    </row>
    <row r="58" spans="1:16" x14ac:dyDescent="0.35">
      <c r="A58" s="4">
        <v>23338</v>
      </c>
      <c r="B58" s="5" t="s">
        <v>148</v>
      </c>
      <c r="C58" s="5" t="s">
        <v>149</v>
      </c>
      <c r="D58" s="5" t="s">
        <v>1032</v>
      </c>
      <c r="E58" s="5" t="s">
        <v>1035</v>
      </c>
      <c r="F58" s="5" t="s">
        <v>1012</v>
      </c>
      <c r="G58" s="3" t="s">
        <v>1017</v>
      </c>
      <c r="H58" s="5" t="s">
        <v>150</v>
      </c>
      <c r="I58" s="5" t="s">
        <v>1023</v>
      </c>
      <c r="J58" s="4">
        <v>5280</v>
      </c>
      <c r="K58" s="1">
        <v>43954</v>
      </c>
      <c r="L58" s="1">
        <v>43955</v>
      </c>
      <c r="M58" s="4">
        <v>5</v>
      </c>
      <c r="N58" s="7" cm="1">
        <f t="array" ref="N58">_xlfn.IFS(I58="Dell Inspiron 15",66989,I58="Lenovo IdeaPad Slim 3i",34690,I58="Mi NoteBook Ultra",57999,I58="Samsung Galaxy Go",36990,I58="Acer Aspire 3",38980)</f>
        <v>66989</v>
      </c>
      <c r="O58" s="5" t="s">
        <v>1030</v>
      </c>
      <c r="P58" s="1"/>
    </row>
    <row r="59" spans="1:16" x14ac:dyDescent="0.35">
      <c r="A59" s="4">
        <v>20521</v>
      </c>
      <c r="B59" s="5" t="s">
        <v>151</v>
      </c>
      <c r="C59" s="5" t="s">
        <v>152</v>
      </c>
      <c r="D59" s="5" t="s">
        <v>1032</v>
      </c>
      <c r="E59" s="5" t="s">
        <v>1035</v>
      </c>
      <c r="F59" s="5" t="s">
        <v>1012</v>
      </c>
      <c r="G59" s="3" t="s">
        <v>1017</v>
      </c>
      <c r="H59" s="5" t="s">
        <v>153</v>
      </c>
      <c r="I59" s="5" t="s">
        <v>1025</v>
      </c>
      <c r="J59" s="4">
        <v>5402</v>
      </c>
      <c r="K59" s="1">
        <v>44004</v>
      </c>
      <c r="L59" s="1">
        <v>44006</v>
      </c>
      <c r="M59" s="4">
        <v>3</v>
      </c>
      <c r="N59" s="7" cm="1">
        <f t="array" ref="N59">_xlfn.IFS(I59="Dell Inspiron 15",66989,I59="Lenovo IdeaPad Slim 3i",34690,I59="Mi NoteBook Ultra",57999,I59="Samsung Galaxy Go",36990,I59="Acer Aspire 3",38980)</f>
        <v>57999</v>
      </c>
      <c r="O59" s="5" t="s">
        <v>1030</v>
      </c>
      <c r="P59" s="1"/>
    </row>
    <row r="60" spans="1:16" x14ac:dyDescent="0.35">
      <c r="A60" s="4">
        <v>25561</v>
      </c>
      <c r="B60" s="5" t="s">
        <v>154</v>
      </c>
      <c r="C60" s="5" t="s">
        <v>24</v>
      </c>
      <c r="D60" s="5" t="s">
        <v>1032</v>
      </c>
      <c r="E60" s="5" t="s">
        <v>1036</v>
      </c>
      <c r="F60" s="5" t="s">
        <v>1013</v>
      </c>
      <c r="G60" s="3" t="s">
        <v>1018</v>
      </c>
      <c r="H60" s="5" t="s">
        <v>155</v>
      </c>
      <c r="I60" s="5" t="s">
        <v>1027</v>
      </c>
      <c r="J60" s="4">
        <v>4997</v>
      </c>
      <c r="K60" s="1">
        <v>43927</v>
      </c>
      <c r="L60" s="1">
        <v>43928</v>
      </c>
      <c r="M60" s="4">
        <v>5</v>
      </c>
      <c r="N60" s="7" cm="1">
        <f t="array" ref="N60">_xlfn.IFS(I60="Dell Inspiron 15",66989,I60="Lenovo IdeaPad Slim 3i",34690,I60="Mi NoteBook Ultra",57999,I60="Samsung Galaxy Go",36990,I60="Acer Aspire 3",38980)</f>
        <v>38980</v>
      </c>
      <c r="O60" s="5" t="s">
        <v>1030</v>
      </c>
      <c r="P60" s="1"/>
    </row>
    <row r="61" spans="1:16" x14ac:dyDescent="0.35">
      <c r="A61" s="4">
        <v>15600</v>
      </c>
      <c r="B61" s="5" t="s">
        <v>156</v>
      </c>
      <c r="C61" s="5" t="s">
        <v>27</v>
      </c>
      <c r="D61" s="5" t="s">
        <v>1032</v>
      </c>
      <c r="E61" s="5" t="s">
        <v>1036</v>
      </c>
      <c r="F61" s="5" t="s">
        <v>1013</v>
      </c>
      <c r="G61" s="3" t="s">
        <v>1018</v>
      </c>
      <c r="H61" s="5" t="s">
        <v>157</v>
      </c>
      <c r="I61" s="5" t="s">
        <v>1023</v>
      </c>
      <c r="J61" s="4">
        <v>4743</v>
      </c>
      <c r="K61" s="1">
        <v>44004</v>
      </c>
      <c r="L61" s="1">
        <v>44006</v>
      </c>
      <c r="M61" s="4">
        <v>6</v>
      </c>
      <c r="N61" s="7" cm="1">
        <f t="array" ref="N61">_xlfn.IFS(I61="Dell Inspiron 15",66989,I61="Lenovo IdeaPad Slim 3i",34690,I61="Mi NoteBook Ultra",57999,I61="Samsung Galaxy Go",36990,I61="Acer Aspire 3",38980)</f>
        <v>66989</v>
      </c>
      <c r="O61" s="5" t="s">
        <v>1030</v>
      </c>
      <c r="P61" s="1"/>
    </row>
    <row r="62" spans="1:16" x14ac:dyDescent="0.35">
      <c r="A62" s="4">
        <v>13401</v>
      </c>
      <c r="B62" s="5" t="s">
        <v>98</v>
      </c>
      <c r="C62" s="5" t="s">
        <v>21</v>
      </c>
      <c r="D62" s="5" t="s">
        <v>1032</v>
      </c>
      <c r="E62" s="5" t="s">
        <v>1033</v>
      </c>
      <c r="F62" s="5" t="s">
        <v>1010</v>
      </c>
      <c r="G62" s="3" t="s">
        <v>1015</v>
      </c>
      <c r="H62" s="5" t="s">
        <v>158</v>
      </c>
      <c r="I62" s="5" t="s">
        <v>1024</v>
      </c>
      <c r="J62" s="4">
        <v>5323</v>
      </c>
      <c r="K62" s="1">
        <v>44004</v>
      </c>
      <c r="L62" s="1">
        <v>44005</v>
      </c>
      <c r="M62" s="4">
        <v>8</v>
      </c>
      <c r="N62" s="7" cm="1">
        <f t="array" ref="N62">_xlfn.IFS(I62="Dell Inspiron 15",66989,I62="Lenovo IdeaPad Slim 3i",34690,I62="Mi NoteBook Ultra",57999,I62="Samsung Galaxy Go",36990,I62="Acer Aspire 3",38980)</f>
        <v>34690</v>
      </c>
      <c r="O62" s="5" t="s">
        <v>1030</v>
      </c>
      <c r="P62" s="1"/>
    </row>
    <row r="63" spans="1:16" x14ac:dyDescent="0.35">
      <c r="A63" s="4">
        <v>20171</v>
      </c>
      <c r="B63" s="5" t="s">
        <v>159</v>
      </c>
      <c r="C63" s="5" t="s">
        <v>160</v>
      </c>
      <c r="D63" s="5" t="s">
        <v>1032</v>
      </c>
      <c r="E63" s="5" t="s">
        <v>1034</v>
      </c>
      <c r="F63" s="5" t="s">
        <v>1011</v>
      </c>
      <c r="G63" s="3" t="s">
        <v>1016</v>
      </c>
      <c r="H63" s="5" t="s">
        <v>161</v>
      </c>
      <c r="I63" s="5" t="s">
        <v>1025</v>
      </c>
      <c r="J63" s="4">
        <v>4755</v>
      </c>
      <c r="K63" s="1">
        <v>43927</v>
      </c>
      <c r="L63" s="1">
        <v>43928</v>
      </c>
      <c r="M63" s="4">
        <v>4</v>
      </c>
      <c r="N63" s="7" cm="1">
        <f t="array" ref="N63">_xlfn.IFS(I63="Dell Inspiron 15",66989,I63="Lenovo IdeaPad Slim 3i",34690,I63="Mi NoteBook Ultra",57999,I63="Samsung Galaxy Go",36990,I63="Acer Aspire 3",38980)</f>
        <v>57999</v>
      </c>
      <c r="O63" s="5" t="s">
        <v>1030</v>
      </c>
      <c r="P63" s="1"/>
    </row>
    <row r="64" spans="1:16" x14ac:dyDescent="0.35">
      <c r="A64" s="4">
        <v>15788</v>
      </c>
      <c r="B64" s="5" t="s">
        <v>20</v>
      </c>
      <c r="C64" s="5" t="s">
        <v>162</v>
      </c>
      <c r="D64" s="5" t="s">
        <v>1032</v>
      </c>
      <c r="E64" s="5" t="s">
        <v>1033</v>
      </c>
      <c r="F64" s="5" t="s">
        <v>1010</v>
      </c>
      <c r="G64" s="3" t="s">
        <v>1015</v>
      </c>
      <c r="H64" s="5" t="s">
        <v>163</v>
      </c>
      <c r="I64" s="5" t="s">
        <v>1026</v>
      </c>
      <c r="J64" s="4">
        <v>4941</v>
      </c>
      <c r="K64" s="1">
        <v>44004</v>
      </c>
      <c r="L64" s="1">
        <v>44005</v>
      </c>
      <c r="M64" s="4">
        <v>1</v>
      </c>
      <c r="N64" s="7" cm="1">
        <f t="array" ref="N64">_xlfn.IFS(I64="Dell Inspiron 15",66989,I64="Lenovo IdeaPad Slim 3i",34690,I64="Mi NoteBook Ultra",57999,I64="Samsung Galaxy Go",36990,I64="Acer Aspire 3",38980)</f>
        <v>36990</v>
      </c>
      <c r="O64" s="5" t="s">
        <v>1030</v>
      </c>
      <c r="P64" s="1"/>
    </row>
    <row r="65" spans="1:16" x14ac:dyDescent="0.35">
      <c r="A65" s="4">
        <v>24367</v>
      </c>
      <c r="B65" s="5" t="s">
        <v>17</v>
      </c>
      <c r="C65" s="5" t="s">
        <v>164</v>
      </c>
      <c r="D65" s="5" t="s">
        <v>1032</v>
      </c>
      <c r="E65" s="5" t="s">
        <v>1035</v>
      </c>
      <c r="F65" s="5" t="s">
        <v>1012</v>
      </c>
      <c r="G65" s="3" t="s">
        <v>1017</v>
      </c>
      <c r="H65" s="5" t="s">
        <v>165</v>
      </c>
      <c r="I65" s="5" t="s">
        <v>1027</v>
      </c>
      <c r="J65" s="4">
        <v>5373</v>
      </c>
      <c r="K65" s="1">
        <v>43833</v>
      </c>
      <c r="L65" s="1">
        <v>43834</v>
      </c>
      <c r="M65" s="4">
        <v>1</v>
      </c>
      <c r="N65" s="7" cm="1">
        <f t="array" ref="N65">_xlfn.IFS(I65="Dell Inspiron 15",66989,I65="Lenovo IdeaPad Slim 3i",34690,I65="Mi NoteBook Ultra",57999,I65="Samsung Galaxy Go",36990,I65="Acer Aspire 3",38980)</f>
        <v>38980</v>
      </c>
      <c r="O65" s="5" t="s">
        <v>1030</v>
      </c>
      <c r="P65" s="1"/>
    </row>
    <row r="66" spans="1:16" x14ac:dyDescent="0.35">
      <c r="A66" s="4">
        <v>22645</v>
      </c>
      <c r="B66" s="5" t="s">
        <v>69</v>
      </c>
      <c r="C66" s="5" t="s">
        <v>166</v>
      </c>
      <c r="D66" s="5" t="s">
        <v>1032</v>
      </c>
      <c r="E66" s="5" t="s">
        <v>1035</v>
      </c>
      <c r="F66" s="5" t="s">
        <v>1012</v>
      </c>
      <c r="G66" s="3" t="s">
        <v>1017</v>
      </c>
      <c r="H66" s="5" t="s">
        <v>167</v>
      </c>
      <c r="I66" s="5" t="s">
        <v>1023</v>
      </c>
      <c r="J66" s="4">
        <v>5401</v>
      </c>
      <c r="K66" s="1">
        <v>43925</v>
      </c>
      <c r="L66" s="1">
        <v>43927</v>
      </c>
      <c r="M66" s="4">
        <v>10</v>
      </c>
      <c r="N66" s="7" cm="1">
        <f t="array" ref="N66">_xlfn.IFS(I66="Dell Inspiron 15",66989,I66="Lenovo IdeaPad Slim 3i",34690,I66="Mi NoteBook Ultra",57999,I66="Samsung Galaxy Go",36990,I66="Acer Aspire 3",38980)</f>
        <v>66989</v>
      </c>
      <c r="O66" s="5" t="s">
        <v>1030</v>
      </c>
      <c r="P66" s="1"/>
    </row>
    <row r="67" spans="1:16" x14ac:dyDescent="0.35">
      <c r="A67" s="4">
        <v>15865</v>
      </c>
      <c r="B67" s="5" t="s">
        <v>74</v>
      </c>
      <c r="C67" s="5" t="s">
        <v>168</v>
      </c>
      <c r="D67" s="5" t="s">
        <v>1032</v>
      </c>
      <c r="E67" s="5" t="s">
        <v>1036</v>
      </c>
      <c r="F67" s="5" t="s">
        <v>1013</v>
      </c>
      <c r="G67" s="3" t="s">
        <v>1018</v>
      </c>
      <c r="H67" s="5" t="s">
        <v>169</v>
      </c>
      <c r="I67" s="5" t="s">
        <v>1025</v>
      </c>
      <c r="J67" s="4">
        <v>5120</v>
      </c>
      <c r="K67" s="1">
        <v>43925</v>
      </c>
      <c r="L67" s="1">
        <v>43927</v>
      </c>
      <c r="M67" s="4">
        <v>10</v>
      </c>
      <c r="N67" s="7" cm="1">
        <f t="array" ref="N67">_xlfn.IFS(I67="Dell Inspiron 15",66989,I67="Lenovo IdeaPad Slim 3i",34690,I67="Mi NoteBook Ultra",57999,I67="Samsung Galaxy Go",36990,I67="Acer Aspire 3",38980)</f>
        <v>57999</v>
      </c>
      <c r="O67" s="5" t="s">
        <v>1030</v>
      </c>
      <c r="P67" s="1"/>
    </row>
    <row r="68" spans="1:16" x14ac:dyDescent="0.35">
      <c r="A68" s="4">
        <v>16197</v>
      </c>
      <c r="B68" s="5" t="s">
        <v>170</v>
      </c>
      <c r="C68" s="5" t="s">
        <v>171</v>
      </c>
      <c r="D68" s="5" t="s">
        <v>1032</v>
      </c>
      <c r="E68" s="5" t="s">
        <v>1033</v>
      </c>
      <c r="F68" s="5" t="s">
        <v>1010</v>
      </c>
      <c r="G68" s="3" t="s">
        <v>1015</v>
      </c>
      <c r="H68" s="5" t="s">
        <v>172</v>
      </c>
      <c r="I68" s="5" t="s">
        <v>1026</v>
      </c>
      <c r="J68" s="4">
        <v>5352</v>
      </c>
      <c r="K68" s="1">
        <v>43930</v>
      </c>
      <c r="L68" s="1">
        <v>43932</v>
      </c>
      <c r="M68" s="4">
        <v>10</v>
      </c>
      <c r="N68" s="7" cm="1">
        <f t="array" ref="N68">_xlfn.IFS(I68="Dell Inspiron 15",66989,I68="Lenovo IdeaPad Slim 3i",34690,I68="Mi NoteBook Ultra",57999,I68="Samsung Galaxy Go",36990,I68="Acer Aspire 3",38980)</f>
        <v>36990</v>
      </c>
      <c r="O68" s="5" t="s">
        <v>1030</v>
      </c>
      <c r="P68" s="1"/>
    </row>
    <row r="69" spans="1:16" x14ac:dyDescent="0.35">
      <c r="A69" s="4">
        <v>17756</v>
      </c>
      <c r="B69" s="5" t="s">
        <v>173</v>
      </c>
      <c r="C69" s="5" t="s">
        <v>174</v>
      </c>
      <c r="D69" s="5" t="s">
        <v>1032</v>
      </c>
      <c r="E69" s="5" t="s">
        <v>1036</v>
      </c>
      <c r="F69" s="5" t="s">
        <v>1013</v>
      </c>
      <c r="G69" s="3" t="s">
        <v>1018</v>
      </c>
      <c r="H69" s="5" t="s">
        <v>175</v>
      </c>
      <c r="I69" s="5" t="s">
        <v>1027</v>
      </c>
      <c r="J69" s="4">
        <v>4563</v>
      </c>
      <c r="K69" s="1">
        <v>43833</v>
      </c>
      <c r="L69" s="1">
        <v>43834</v>
      </c>
      <c r="M69" s="4">
        <v>4</v>
      </c>
      <c r="N69" s="7" cm="1">
        <f t="array" ref="N69">_xlfn.IFS(I69="Dell Inspiron 15",66989,I69="Lenovo IdeaPad Slim 3i",34690,I69="Mi NoteBook Ultra",57999,I69="Samsung Galaxy Go",36990,I69="Acer Aspire 3",38980)</f>
        <v>38980</v>
      </c>
      <c r="O69" s="5" t="s">
        <v>1030</v>
      </c>
      <c r="P69" s="1"/>
    </row>
    <row r="70" spans="1:16" x14ac:dyDescent="0.35">
      <c r="A70" s="4">
        <v>21170</v>
      </c>
      <c r="B70" s="5" t="s">
        <v>57</v>
      </c>
      <c r="C70" s="5" t="s">
        <v>176</v>
      </c>
      <c r="D70" s="5" t="s">
        <v>1032</v>
      </c>
      <c r="E70" s="5" t="s">
        <v>1033</v>
      </c>
      <c r="F70" s="5" t="s">
        <v>1010</v>
      </c>
      <c r="G70" s="3" t="s">
        <v>1015</v>
      </c>
      <c r="H70" s="5" t="s">
        <v>177</v>
      </c>
      <c r="I70" s="5" t="s">
        <v>1023</v>
      </c>
      <c r="J70" s="4">
        <v>4810</v>
      </c>
      <c r="K70" s="1">
        <v>43925</v>
      </c>
      <c r="L70" s="1">
        <v>43927</v>
      </c>
      <c r="M70" s="4">
        <v>7</v>
      </c>
      <c r="N70" s="7" cm="1">
        <f t="array" ref="N70">_xlfn.IFS(I70="Dell Inspiron 15",66989,I70="Lenovo IdeaPad Slim 3i",34690,I70="Mi NoteBook Ultra",57999,I70="Samsung Galaxy Go",36990,I70="Acer Aspire 3",38980)</f>
        <v>66989</v>
      </c>
      <c r="O70" s="5" t="s">
        <v>1030</v>
      </c>
      <c r="P70" s="1"/>
    </row>
    <row r="71" spans="1:16" x14ac:dyDescent="0.35">
      <c r="A71" s="4">
        <v>21622</v>
      </c>
      <c r="B71" s="5" t="s">
        <v>178</v>
      </c>
      <c r="C71" s="5" t="s">
        <v>4</v>
      </c>
      <c r="D71" s="5" t="s">
        <v>1032</v>
      </c>
      <c r="E71" s="5" t="s">
        <v>1034</v>
      </c>
      <c r="F71" s="5" t="s">
        <v>1011</v>
      </c>
      <c r="G71" s="3" t="s">
        <v>1016</v>
      </c>
      <c r="H71" s="5" t="s">
        <v>179</v>
      </c>
      <c r="I71" s="5" t="s">
        <v>1025</v>
      </c>
      <c r="J71" s="4">
        <v>4553</v>
      </c>
      <c r="K71" s="1">
        <v>43925</v>
      </c>
      <c r="L71" s="1">
        <v>43927</v>
      </c>
      <c r="M71" s="4">
        <v>7</v>
      </c>
      <c r="N71" s="7" cm="1">
        <f t="array" ref="N71">_xlfn.IFS(I71="Dell Inspiron 15",66989,I71="Lenovo IdeaPad Slim 3i",34690,I71="Mi NoteBook Ultra",57999,I71="Samsung Galaxy Go",36990,I71="Acer Aspire 3",38980)</f>
        <v>57999</v>
      </c>
      <c r="O71" s="5" t="s">
        <v>1030</v>
      </c>
      <c r="P71" s="1"/>
    </row>
    <row r="72" spans="1:16" x14ac:dyDescent="0.35">
      <c r="A72" s="4">
        <v>15133</v>
      </c>
      <c r="B72" s="5" t="s">
        <v>148</v>
      </c>
      <c r="C72" s="5" t="s">
        <v>162</v>
      </c>
      <c r="D72" s="5" t="s">
        <v>1032</v>
      </c>
      <c r="E72" s="5" t="s">
        <v>1033</v>
      </c>
      <c r="F72" s="5" t="s">
        <v>1010</v>
      </c>
      <c r="G72" s="3" t="s">
        <v>1015</v>
      </c>
      <c r="H72" s="5" t="s">
        <v>180</v>
      </c>
      <c r="I72" s="5" t="s">
        <v>1027</v>
      </c>
      <c r="J72" s="4">
        <v>4990</v>
      </c>
      <c r="K72" s="1">
        <v>43930</v>
      </c>
      <c r="L72" s="1">
        <v>43932</v>
      </c>
      <c r="M72" s="4">
        <v>7</v>
      </c>
      <c r="N72" s="7" cm="1">
        <f t="array" ref="N72">_xlfn.IFS(I72="Dell Inspiron 15",66989,I72="Lenovo IdeaPad Slim 3i",34690,I72="Mi NoteBook Ultra",57999,I72="Samsung Galaxy Go",36990,I72="Acer Aspire 3",38980)</f>
        <v>38980</v>
      </c>
      <c r="O72" s="5" t="s">
        <v>1030</v>
      </c>
      <c r="P72" s="1"/>
    </row>
    <row r="73" spans="1:16" x14ac:dyDescent="0.35">
      <c r="A73" s="4">
        <v>25147</v>
      </c>
      <c r="B73" s="5" t="s">
        <v>181</v>
      </c>
      <c r="C73" s="5" t="s">
        <v>182</v>
      </c>
      <c r="D73" s="5" t="s">
        <v>1032</v>
      </c>
      <c r="E73" s="5" t="s">
        <v>1035</v>
      </c>
      <c r="F73" s="5" t="s">
        <v>1012</v>
      </c>
      <c r="G73" s="3" t="s">
        <v>1017</v>
      </c>
      <c r="H73" s="5" t="s">
        <v>183</v>
      </c>
      <c r="I73" s="5" t="s">
        <v>1023</v>
      </c>
      <c r="J73" s="4">
        <v>5153</v>
      </c>
      <c r="K73" s="1">
        <v>43842</v>
      </c>
      <c r="L73" s="1">
        <v>43843</v>
      </c>
      <c r="M73" s="4">
        <v>5</v>
      </c>
      <c r="N73" s="7" cm="1">
        <f t="array" ref="N73">_xlfn.IFS(I73="Dell Inspiron 15",66989,I73="Lenovo IdeaPad Slim 3i",34690,I73="Mi NoteBook Ultra",57999,I73="Samsung Galaxy Go",36990,I73="Acer Aspire 3",38980)</f>
        <v>66989</v>
      </c>
      <c r="O73" s="5" t="s">
        <v>1030</v>
      </c>
      <c r="P73" s="1"/>
    </row>
    <row r="74" spans="1:16" x14ac:dyDescent="0.35">
      <c r="A74" s="4">
        <v>18772</v>
      </c>
      <c r="B74" s="5" t="s">
        <v>170</v>
      </c>
      <c r="C74" s="5" t="s">
        <v>184</v>
      </c>
      <c r="D74" s="5" t="s">
        <v>1032</v>
      </c>
      <c r="E74" s="5" t="s">
        <v>1035</v>
      </c>
      <c r="F74" s="5" t="s">
        <v>1012</v>
      </c>
      <c r="G74" s="3" t="s">
        <v>1017</v>
      </c>
      <c r="H74" s="5" t="s">
        <v>185</v>
      </c>
      <c r="I74" s="5" t="s">
        <v>1024</v>
      </c>
      <c r="J74" s="4">
        <v>5421</v>
      </c>
      <c r="K74" s="1">
        <v>43842</v>
      </c>
      <c r="L74" s="1">
        <v>43844</v>
      </c>
      <c r="M74" s="4">
        <v>9</v>
      </c>
      <c r="N74" s="7" cm="1">
        <f t="array" ref="N74">_xlfn.IFS(I74="Dell Inspiron 15",66989,I74="Lenovo IdeaPad Slim 3i",34690,I74="Mi NoteBook Ultra",57999,I74="Samsung Galaxy Go",36990,I74="Acer Aspire 3",38980)</f>
        <v>34690</v>
      </c>
      <c r="O74" s="5" t="s">
        <v>1030</v>
      </c>
      <c r="P74" s="1"/>
    </row>
    <row r="75" spans="1:16" x14ac:dyDescent="0.35">
      <c r="A75" s="4">
        <v>16142</v>
      </c>
      <c r="B75" s="5" t="s">
        <v>186</v>
      </c>
      <c r="C75" s="5" t="s">
        <v>149</v>
      </c>
      <c r="D75" s="5" t="s">
        <v>1032</v>
      </c>
      <c r="E75" s="5" t="s">
        <v>1036</v>
      </c>
      <c r="F75" s="5" t="s">
        <v>1013</v>
      </c>
      <c r="G75" s="3" t="s">
        <v>1018</v>
      </c>
      <c r="H75" s="5" t="s">
        <v>187</v>
      </c>
      <c r="I75" s="5" t="s">
        <v>1026</v>
      </c>
      <c r="J75" s="4">
        <v>4533</v>
      </c>
      <c r="K75" s="1">
        <v>43930</v>
      </c>
      <c r="L75" s="1">
        <v>43931</v>
      </c>
      <c r="M75" s="4">
        <v>2</v>
      </c>
      <c r="N75" s="7" cm="1">
        <f t="array" ref="N75">_xlfn.IFS(I75="Dell Inspiron 15",66989,I75="Lenovo IdeaPad Slim 3i",34690,I75="Mi NoteBook Ultra",57999,I75="Samsung Galaxy Go",36990,I75="Acer Aspire 3",38980)</f>
        <v>36990</v>
      </c>
      <c r="O75" s="5" t="s">
        <v>1030</v>
      </c>
      <c r="P75" s="1"/>
    </row>
    <row r="76" spans="1:16" x14ac:dyDescent="0.35">
      <c r="A76" s="4">
        <v>24011</v>
      </c>
      <c r="B76" s="5" t="s">
        <v>188</v>
      </c>
      <c r="C76" s="5" t="s">
        <v>189</v>
      </c>
      <c r="D76" s="5" t="s">
        <v>1032</v>
      </c>
      <c r="E76" s="5" t="s">
        <v>1033</v>
      </c>
      <c r="F76" s="5" t="s">
        <v>1010</v>
      </c>
      <c r="G76" s="3" t="s">
        <v>1015</v>
      </c>
      <c r="H76" s="5" t="s">
        <v>190</v>
      </c>
      <c r="I76" s="5" t="s">
        <v>1023</v>
      </c>
      <c r="J76" s="4">
        <v>5423</v>
      </c>
      <c r="K76" s="1">
        <v>43857</v>
      </c>
      <c r="L76" s="1">
        <v>43858</v>
      </c>
      <c r="M76" s="4">
        <v>7</v>
      </c>
      <c r="N76" s="7" cm="1">
        <f t="array" ref="N76">_xlfn.IFS(I76="Dell Inspiron 15",66989,I76="Lenovo IdeaPad Slim 3i",34690,I76="Mi NoteBook Ultra",57999,I76="Samsung Galaxy Go",36990,I76="Acer Aspire 3",38980)</f>
        <v>66989</v>
      </c>
      <c r="O76" s="5" t="s">
        <v>1030</v>
      </c>
      <c r="P76" s="1"/>
    </row>
    <row r="77" spans="1:16" x14ac:dyDescent="0.35">
      <c r="A77" s="4">
        <v>22213</v>
      </c>
      <c r="B77" s="5" t="s">
        <v>181</v>
      </c>
      <c r="C77" s="5" t="s">
        <v>12</v>
      </c>
      <c r="D77" s="5" t="s">
        <v>1032</v>
      </c>
      <c r="E77" s="5" t="s">
        <v>1034</v>
      </c>
      <c r="F77" s="5" t="s">
        <v>1011</v>
      </c>
      <c r="G77" s="3" t="s">
        <v>1016</v>
      </c>
      <c r="H77" s="5" t="s">
        <v>191</v>
      </c>
      <c r="I77" s="5" t="s">
        <v>1027</v>
      </c>
      <c r="J77" s="4">
        <v>4787</v>
      </c>
      <c r="K77" s="1">
        <v>43976</v>
      </c>
      <c r="L77" s="1">
        <v>43977</v>
      </c>
      <c r="M77" s="4">
        <v>7</v>
      </c>
      <c r="N77" s="7" cm="1">
        <f t="array" ref="N77">_xlfn.IFS(I77="Dell Inspiron 15",66989,I77="Lenovo IdeaPad Slim 3i",34690,I77="Mi NoteBook Ultra",57999,I77="Samsung Galaxy Go",36990,I77="Acer Aspire 3",38980)</f>
        <v>38980</v>
      </c>
      <c r="O77" s="5" t="s">
        <v>1030</v>
      </c>
      <c r="P77" s="1"/>
    </row>
    <row r="78" spans="1:16" x14ac:dyDescent="0.35">
      <c r="A78" s="4">
        <v>15893</v>
      </c>
      <c r="B78" s="5" t="s">
        <v>48</v>
      </c>
      <c r="C78" s="5" t="s">
        <v>192</v>
      </c>
      <c r="D78" s="5" t="s">
        <v>1032</v>
      </c>
      <c r="E78" s="5" t="s">
        <v>1033</v>
      </c>
      <c r="F78" s="5" t="s">
        <v>1010</v>
      </c>
      <c r="G78" s="3" t="s">
        <v>1015</v>
      </c>
      <c r="H78" s="5" t="s">
        <v>193</v>
      </c>
      <c r="I78" s="5" t="s">
        <v>1025</v>
      </c>
      <c r="J78" s="4">
        <v>5421</v>
      </c>
      <c r="K78" s="1">
        <v>43967</v>
      </c>
      <c r="L78" s="1">
        <v>43968</v>
      </c>
      <c r="M78" s="4">
        <v>3</v>
      </c>
      <c r="N78" s="7" cm="1">
        <f t="array" ref="N78">_xlfn.IFS(I78="Dell Inspiron 15",66989,I78="Lenovo IdeaPad Slim 3i",34690,I78="Mi NoteBook Ultra",57999,I78="Samsung Galaxy Go",36990,I78="Acer Aspire 3",38980)</f>
        <v>57999</v>
      </c>
      <c r="O78" s="5" t="s">
        <v>1030</v>
      </c>
      <c r="P78" s="1"/>
    </row>
    <row r="79" spans="1:16" x14ac:dyDescent="0.35">
      <c r="A79" s="4">
        <v>15286</v>
      </c>
      <c r="B79" s="5" t="s">
        <v>194</v>
      </c>
      <c r="C79" s="5" t="s">
        <v>195</v>
      </c>
      <c r="D79" s="5" t="s">
        <v>1032</v>
      </c>
      <c r="E79" s="5" t="s">
        <v>1035</v>
      </c>
      <c r="F79" s="5" t="s">
        <v>1012</v>
      </c>
      <c r="G79" s="3" t="s">
        <v>1017</v>
      </c>
      <c r="H79" s="5" t="s">
        <v>196</v>
      </c>
      <c r="I79" s="5" t="s">
        <v>1026</v>
      </c>
      <c r="J79" s="4">
        <v>5503</v>
      </c>
      <c r="K79" s="1">
        <v>43967</v>
      </c>
      <c r="L79" s="1">
        <v>43968</v>
      </c>
      <c r="M79" s="4">
        <v>1</v>
      </c>
      <c r="N79" s="7" cm="1">
        <f t="array" ref="N79">_xlfn.IFS(I79="Dell Inspiron 15",66989,I79="Lenovo IdeaPad Slim 3i",34690,I79="Mi NoteBook Ultra",57999,I79="Samsung Galaxy Go",36990,I79="Acer Aspire 3",38980)</f>
        <v>36990</v>
      </c>
      <c r="O79" s="5" t="s">
        <v>1030</v>
      </c>
      <c r="P79" s="1"/>
    </row>
    <row r="80" spans="1:16" x14ac:dyDescent="0.35">
      <c r="A80" s="4">
        <v>14634</v>
      </c>
      <c r="B80" s="5" t="s">
        <v>194</v>
      </c>
      <c r="C80" s="5" t="s">
        <v>197</v>
      </c>
      <c r="D80" s="5" t="s">
        <v>1032</v>
      </c>
      <c r="E80" s="5" t="s">
        <v>1035</v>
      </c>
      <c r="F80" s="5" t="s">
        <v>1012</v>
      </c>
      <c r="G80" s="3" t="s">
        <v>1017</v>
      </c>
      <c r="H80" s="5" t="s">
        <v>198</v>
      </c>
      <c r="I80" s="5" t="s">
        <v>1027</v>
      </c>
      <c r="J80" s="4">
        <v>4780</v>
      </c>
      <c r="K80" s="1">
        <v>43984</v>
      </c>
      <c r="L80" s="1">
        <v>43985</v>
      </c>
      <c r="M80" s="4">
        <v>7</v>
      </c>
      <c r="N80" s="7" cm="1">
        <f t="array" ref="N80">_xlfn.IFS(I80="Dell Inspiron 15",66989,I80="Lenovo IdeaPad Slim 3i",34690,I80="Mi NoteBook Ultra",57999,I80="Samsung Galaxy Go",36990,I80="Acer Aspire 3",38980)</f>
        <v>38980</v>
      </c>
      <c r="O80" s="5" t="s">
        <v>1030</v>
      </c>
      <c r="P80" s="1"/>
    </row>
    <row r="81" spans="1:16" x14ac:dyDescent="0.35">
      <c r="A81" s="4">
        <v>17360</v>
      </c>
      <c r="B81" s="5" t="s">
        <v>199</v>
      </c>
      <c r="C81" s="5" t="s">
        <v>200</v>
      </c>
      <c r="D81" s="5" t="s">
        <v>1032</v>
      </c>
      <c r="E81" s="5" t="s">
        <v>1036</v>
      </c>
      <c r="F81" s="5" t="s">
        <v>1013</v>
      </c>
      <c r="G81" s="3" t="s">
        <v>1018</v>
      </c>
      <c r="H81" s="5" t="s">
        <v>201</v>
      </c>
      <c r="I81" s="5" t="s">
        <v>1023</v>
      </c>
      <c r="J81" s="4">
        <v>4573</v>
      </c>
      <c r="K81" s="1">
        <v>43984</v>
      </c>
      <c r="L81" s="1">
        <v>43985</v>
      </c>
      <c r="M81" s="4">
        <v>7</v>
      </c>
      <c r="N81" s="7" cm="1">
        <f t="array" ref="N81">_xlfn.IFS(I81="Dell Inspiron 15",66989,I81="Lenovo IdeaPad Slim 3i",34690,I81="Mi NoteBook Ultra",57999,I81="Samsung Galaxy Go",36990,I81="Acer Aspire 3",38980)</f>
        <v>66989</v>
      </c>
      <c r="O81" s="5" t="s">
        <v>1030</v>
      </c>
      <c r="P81" s="1"/>
    </row>
    <row r="82" spans="1:16" x14ac:dyDescent="0.35">
      <c r="A82" s="4">
        <v>21325</v>
      </c>
      <c r="B82" s="5" t="s">
        <v>186</v>
      </c>
      <c r="C82" s="5" t="s">
        <v>99</v>
      </c>
      <c r="D82" s="5" t="s">
        <v>1032</v>
      </c>
      <c r="E82" s="5" t="s">
        <v>1033</v>
      </c>
      <c r="F82" s="5" t="s">
        <v>1010</v>
      </c>
      <c r="G82" s="3" t="s">
        <v>1015</v>
      </c>
      <c r="H82" s="5" t="s">
        <v>202</v>
      </c>
      <c r="I82" s="5" t="s">
        <v>1025</v>
      </c>
      <c r="J82" s="4">
        <v>5266</v>
      </c>
      <c r="K82" s="1">
        <v>43845</v>
      </c>
      <c r="L82" s="1">
        <v>43847</v>
      </c>
      <c r="M82" s="4">
        <v>6</v>
      </c>
      <c r="N82" s="7" cm="1">
        <f t="array" ref="N82">_xlfn.IFS(I82="Dell Inspiron 15",66989,I82="Lenovo IdeaPad Slim 3i",34690,I82="Mi NoteBook Ultra",57999,I82="Samsung Galaxy Go",36990,I82="Acer Aspire 3",38980)</f>
        <v>57999</v>
      </c>
      <c r="O82" s="5" t="s">
        <v>1030</v>
      </c>
      <c r="P82" s="1"/>
    </row>
    <row r="83" spans="1:16" x14ac:dyDescent="0.35">
      <c r="A83" s="4">
        <v>19763</v>
      </c>
      <c r="B83" s="5" t="s">
        <v>203</v>
      </c>
      <c r="C83" s="5" t="s">
        <v>129</v>
      </c>
      <c r="D83" s="5" t="s">
        <v>1032</v>
      </c>
      <c r="E83" s="5" t="s">
        <v>1034</v>
      </c>
      <c r="F83" s="5" t="s">
        <v>1011</v>
      </c>
      <c r="G83" s="3" t="s">
        <v>1016</v>
      </c>
      <c r="H83" s="5" t="s">
        <v>204</v>
      </c>
      <c r="I83" s="5" t="s">
        <v>1027</v>
      </c>
      <c r="J83" s="4">
        <v>4650</v>
      </c>
      <c r="K83" s="1">
        <v>43906</v>
      </c>
      <c r="L83" s="1">
        <v>43906</v>
      </c>
      <c r="M83" s="4">
        <v>8</v>
      </c>
      <c r="N83" s="7" cm="1">
        <f t="array" ref="N83">_xlfn.IFS(I83="Dell Inspiron 15",66989,I83="Lenovo IdeaPad Slim 3i",34690,I83="Mi NoteBook Ultra",57999,I83="Samsung Galaxy Go",36990,I83="Acer Aspire 3",38980)</f>
        <v>38980</v>
      </c>
      <c r="O83" s="5" t="s">
        <v>1030</v>
      </c>
      <c r="P83" s="1"/>
    </row>
    <row r="84" spans="1:16" x14ac:dyDescent="0.35">
      <c r="A84" s="4">
        <v>21112</v>
      </c>
      <c r="B84" s="5" t="s">
        <v>205</v>
      </c>
      <c r="C84" s="5" t="s">
        <v>206</v>
      </c>
      <c r="D84" s="5" t="s">
        <v>1032</v>
      </c>
      <c r="E84" s="5" t="s">
        <v>1033</v>
      </c>
      <c r="F84" s="5" t="s">
        <v>1010</v>
      </c>
      <c r="G84" s="3" t="s">
        <v>1015</v>
      </c>
      <c r="H84" s="5" t="s">
        <v>207</v>
      </c>
      <c r="I84" s="5" t="s">
        <v>1023</v>
      </c>
      <c r="J84" s="4">
        <v>4783</v>
      </c>
      <c r="K84" s="1">
        <v>43902</v>
      </c>
      <c r="L84" s="1">
        <v>43903</v>
      </c>
      <c r="M84" s="4">
        <v>3</v>
      </c>
      <c r="N84" s="7" cm="1">
        <f t="array" ref="N84">_xlfn.IFS(I84="Dell Inspiron 15",66989,I84="Lenovo IdeaPad Slim 3i",34690,I84="Mi NoteBook Ultra",57999,I84="Samsung Galaxy Go",36990,I84="Acer Aspire 3",38980)</f>
        <v>66989</v>
      </c>
      <c r="O84" s="5" t="s">
        <v>1030</v>
      </c>
      <c r="P84" s="1"/>
    </row>
    <row r="85" spans="1:16" x14ac:dyDescent="0.35">
      <c r="A85" s="4">
        <v>15027</v>
      </c>
      <c r="B85" s="5" t="s">
        <v>52</v>
      </c>
      <c r="C85" s="5" t="s">
        <v>208</v>
      </c>
      <c r="D85" s="5" t="s">
        <v>1032</v>
      </c>
      <c r="E85" s="5" t="s">
        <v>1035</v>
      </c>
      <c r="F85" s="5" t="s">
        <v>1012</v>
      </c>
      <c r="G85" s="3" t="s">
        <v>1017</v>
      </c>
      <c r="H85" s="5" t="s">
        <v>209</v>
      </c>
      <c r="I85" s="5" t="s">
        <v>1024</v>
      </c>
      <c r="J85" s="4">
        <v>5303</v>
      </c>
      <c r="K85" s="1">
        <v>43944</v>
      </c>
      <c r="L85" s="1">
        <v>43945</v>
      </c>
      <c r="M85" s="4">
        <v>9</v>
      </c>
      <c r="N85" s="7" cm="1">
        <f t="array" ref="N85">_xlfn.IFS(I85="Dell Inspiron 15",66989,I85="Lenovo IdeaPad Slim 3i",34690,I85="Mi NoteBook Ultra",57999,I85="Samsung Galaxy Go",36990,I85="Acer Aspire 3",38980)</f>
        <v>34690</v>
      </c>
      <c r="O85" s="5" t="s">
        <v>1030</v>
      </c>
      <c r="P85" s="1"/>
    </row>
    <row r="86" spans="1:16" x14ac:dyDescent="0.35">
      <c r="A86" s="4">
        <v>13006</v>
      </c>
      <c r="B86" s="5" t="s">
        <v>62</v>
      </c>
      <c r="C86" s="5" t="s">
        <v>184</v>
      </c>
      <c r="D86" s="5" t="s">
        <v>1032</v>
      </c>
      <c r="E86" s="5" t="s">
        <v>1035</v>
      </c>
      <c r="F86" s="5" t="s">
        <v>1012</v>
      </c>
      <c r="G86" s="3" t="s">
        <v>1017</v>
      </c>
      <c r="H86" s="5" t="s">
        <v>210</v>
      </c>
      <c r="I86" s="5" t="s">
        <v>1025</v>
      </c>
      <c r="J86" s="4">
        <v>5165</v>
      </c>
      <c r="K86" s="1">
        <v>43852</v>
      </c>
      <c r="L86" s="1">
        <v>43853</v>
      </c>
      <c r="M86" s="4">
        <v>2</v>
      </c>
      <c r="N86" s="7" cm="1">
        <f t="array" ref="N86">_xlfn.IFS(I86="Dell Inspiron 15",66989,I86="Lenovo IdeaPad Slim 3i",34690,I86="Mi NoteBook Ultra",57999,I86="Samsung Galaxy Go",36990,I86="Acer Aspire 3",38980)</f>
        <v>57999</v>
      </c>
      <c r="O86" s="5" t="s">
        <v>1030</v>
      </c>
      <c r="P86" s="1"/>
    </row>
    <row r="87" spans="1:16" x14ac:dyDescent="0.35">
      <c r="A87" s="4">
        <v>15885</v>
      </c>
      <c r="B87" s="5" t="s">
        <v>211</v>
      </c>
      <c r="C87" s="5" t="s">
        <v>212</v>
      </c>
      <c r="D87" s="5" t="s">
        <v>1032</v>
      </c>
      <c r="E87" s="5" t="s">
        <v>1036</v>
      </c>
      <c r="F87" s="5" t="s">
        <v>1013</v>
      </c>
      <c r="G87" s="3" t="s">
        <v>1018</v>
      </c>
      <c r="H87" s="5" t="s">
        <v>213</v>
      </c>
      <c r="I87" s="5" t="s">
        <v>1026</v>
      </c>
      <c r="J87" s="4">
        <v>4889</v>
      </c>
      <c r="K87" s="1">
        <v>43941</v>
      </c>
      <c r="L87" s="1">
        <v>43943</v>
      </c>
      <c r="M87" s="4">
        <v>6</v>
      </c>
      <c r="N87" s="7" cm="1">
        <f t="array" ref="N87">_xlfn.IFS(I87="Dell Inspiron 15",66989,I87="Lenovo IdeaPad Slim 3i",34690,I87="Mi NoteBook Ultra",57999,I87="Samsung Galaxy Go",36990,I87="Acer Aspire 3",38980)</f>
        <v>36990</v>
      </c>
      <c r="O87" s="5" t="s">
        <v>1030</v>
      </c>
      <c r="P87" s="1"/>
    </row>
    <row r="88" spans="1:16" x14ac:dyDescent="0.35">
      <c r="A88" s="4">
        <v>22198</v>
      </c>
      <c r="B88" s="5" t="s">
        <v>214</v>
      </c>
      <c r="C88" s="5" t="s">
        <v>215</v>
      </c>
      <c r="D88" s="5" t="s">
        <v>1032</v>
      </c>
      <c r="E88" s="5" t="s">
        <v>1036</v>
      </c>
      <c r="F88" s="5" t="s">
        <v>1013</v>
      </c>
      <c r="G88" s="3" t="s">
        <v>1018</v>
      </c>
      <c r="H88" s="5" t="s">
        <v>216</v>
      </c>
      <c r="I88" s="5" t="s">
        <v>1027</v>
      </c>
      <c r="J88" s="4">
        <v>5311</v>
      </c>
      <c r="K88" s="1">
        <v>43845</v>
      </c>
      <c r="L88" s="1">
        <v>43846</v>
      </c>
      <c r="M88" s="4">
        <v>2</v>
      </c>
      <c r="N88" s="7" cm="1">
        <f t="array" ref="N88">_xlfn.IFS(I88="Dell Inspiron 15",66989,I88="Lenovo IdeaPad Slim 3i",34690,I88="Mi NoteBook Ultra",57999,I88="Samsung Galaxy Go",36990,I88="Acer Aspire 3",38980)</f>
        <v>38980</v>
      </c>
      <c r="O88" s="5" t="s">
        <v>1030</v>
      </c>
      <c r="P88" s="1"/>
    </row>
    <row r="89" spans="1:16" x14ac:dyDescent="0.35">
      <c r="A89" s="4">
        <v>13789</v>
      </c>
      <c r="B89" s="5" t="s">
        <v>217</v>
      </c>
      <c r="C89" s="5" t="s">
        <v>218</v>
      </c>
      <c r="D89" s="5" t="s">
        <v>1032</v>
      </c>
      <c r="E89" s="5" t="s">
        <v>1033</v>
      </c>
      <c r="F89" s="5" t="s">
        <v>1010</v>
      </c>
      <c r="G89" s="3" t="s">
        <v>1015</v>
      </c>
      <c r="H89" s="5" t="s">
        <v>219</v>
      </c>
      <c r="I89" s="5" t="s">
        <v>1023</v>
      </c>
      <c r="J89" s="4">
        <v>5363</v>
      </c>
      <c r="K89" s="1">
        <v>43940</v>
      </c>
      <c r="L89" s="1">
        <v>43947</v>
      </c>
      <c r="M89" s="4">
        <v>6</v>
      </c>
      <c r="N89" s="7" cm="1">
        <f t="array" ref="N89">_xlfn.IFS(I89="Dell Inspiron 15",66989,I89="Lenovo IdeaPad Slim 3i",34690,I89="Mi NoteBook Ultra",57999,I89="Samsung Galaxy Go",36990,I89="Acer Aspire 3",38980)</f>
        <v>66989</v>
      </c>
      <c r="O89" s="5" t="s">
        <v>1030</v>
      </c>
      <c r="P89" s="1"/>
    </row>
    <row r="90" spans="1:16" x14ac:dyDescent="0.35">
      <c r="A90" s="4">
        <v>18521</v>
      </c>
      <c r="B90" s="5" t="s">
        <v>220</v>
      </c>
      <c r="C90" s="5" t="s">
        <v>221</v>
      </c>
      <c r="D90" s="5" t="s">
        <v>1032</v>
      </c>
      <c r="E90" s="5" t="s">
        <v>1034</v>
      </c>
      <c r="F90" s="5" t="s">
        <v>1011</v>
      </c>
      <c r="G90" s="3" t="s">
        <v>1016</v>
      </c>
      <c r="H90" s="5" t="s">
        <v>222</v>
      </c>
      <c r="I90" s="5" t="s">
        <v>1025</v>
      </c>
      <c r="J90" s="4">
        <v>4839</v>
      </c>
      <c r="K90" s="1">
        <v>43919</v>
      </c>
      <c r="L90" s="1">
        <v>43922</v>
      </c>
      <c r="M90" s="4">
        <v>7</v>
      </c>
      <c r="N90" s="7" cm="1">
        <f t="array" ref="N90">_xlfn.IFS(I90="Dell Inspiron 15",66989,I90="Lenovo IdeaPad Slim 3i",34690,I90="Mi NoteBook Ultra",57999,I90="Samsung Galaxy Go",36990,I90="Acer Aspire 3",38980)</f>
        <v>57999</v>
      </c>
      <c r="O90" s="5" t="s">
        <v>1030</v>
      </c>
      <c r="P90" s="1"/>
    </row>
    <row r="91" spans="1:16" x14ac:dyDescent="0.35">
      <c r="A91" s="4">
        <v>20280</v>
      </c>
      <c r="B91" s="5" t="s">
        <v>223</v>
      </c>
      <c r="C91" s="5" t="s">
        <v>189</v>
      </c>
      <c r="D91" s="5" t="s">
        <v>1032</v>
      </c>
      <c r="E91" s="5" t="s">
        <v>1033</v>
      </c>
      <c r="F91" s="5" t="s">
        <v>1010</v>
      </c>
      <c r="G91" s="3" t="s">
        <v>1015</v>
      </c>
      <c r="H91" s="5" t="s">
        <v>224</v>
      </c>
      <c r="I91" s="5" t="s">
        <v>1027</v>
      </c>
      <c r="J91" s="4">
        <v>4770</v>
      </c>
      <c r="K91" s="1">
        <v>44000</v>
      </c>
      <c r="L91" s="1">
        <v>44004</v>
      </c>
      <c r="M91" s="4">
        <v>4</v>
      </c>
      <c r="N91" s="7" cm="1">
        <f t="array" ref="N91">_xlfn.IFS(I91="Dell Inspiron 15",66989,I91="Lenovo IdeaPad Slim 3i",34690,I91="Mi NoteBook Ultra",57999,I91="Samsung Galaxy Go",36990,I91="Acer Aspire 3",38980)</f>
        <v>38980</v>
      </c>
      <c r="O91" s="5" t="s">
        <v>1030</v>
      </c>
      <c r="P91" s="1"/>
    </row>
    <row r="92" spans="1:16" x14ac:dyDescent="0.35">
      <c r="A92" s="4">
        <v>22696</v>
      </c>
      <c r="B92" s="5" t="s">
        <v>41</v>
      </c>
      <c r="C92" s="5" t="s">
        <v>225</v>
      </c>
      <c r="D92" s="5" t="s">
        <v>1032</v>
      </c>
      <c r="E92" s="5" t="s">
        <v>1035</v>
      </c>
      <c r="F92" s="5" t="s">
        <v>1012</v>
      </c>
      <c r="G92" s="3" t="s">
        <v>1017</v>
      </c>
      <c r="H92" s="5" t="s">
        <v>226</v>
      </c>
      <c r="I92" s="5" t="s">
        <v>1023</v>
      </c>
      <c r="J92" s="4">
        <v>4722</v>
      </c>
      <c r="K92" s="1">
        <v>43965</v>
      </c>
      <c r="L92" s="1">
        <v>43966</v>
      </c>
      <c r="M92" s="4">
        <v>4</v>
      </c>
      <c r="N92" s="7" cm="1">
        <f t="array" ref="N92">_xlfn.IFS(I92="Dell Inspiron 15",66989,I92="Lenovo IdeaPad Slim 3i",34690,I92="Mi NoteBook Ultra",57999,I92="Samsung Galaxy Go",36990,I92="Acer Aspire 3",38980)</f>
        <v>66989</v>
      </c>
      <c r="O92" s="5" t="s">
        <v>1030</v>
      </c>
      <c r="P92" s="1"/>
    </row>
    <row r="93" spans="1:16" x14ac:dyDescent="0.35">
      <c r="A93" s="4">
        <v>17620</v>
      </c>
      <c r="B93" s="5" t="s">
        <v>227</v>
      </c>
      <c r="C93" s="5" t="s">
        <v>72</v>
      </c>
      <c r="D93" s="5" t="s">
        <v>1032</v>
      </c>
      <c r="E93" s="5" t="s">
        <v>1035</v>
      </c>
      <c r="F93" s="5" t="s">
        <v>1012</v>
      </c>
      <c r="G93" s="3" t="s">
        <v>1017</v>
      </c>
      <c r="H93" s="5" t="s">
        <v>228</v>
      </c>
      <c r="I93" s="5" t="s">
        <v>1024</v>
      </c>
      <c r="J93" s="4">
        <v>4689</v>
      </c>
      <c r="K93" s="1">
        <v>43855</v>
      </c>
      <c r="L93" s="1">
        <v>43856</v>
      </c>
      <c r="M93" s="4">
        <v>5</v>
      </c>
      <c r="N93" s="7" cm="1">
        <f t="array" ref="N93">_xlfn.IFS(I93="Dell Inspiron 15",66989,I93="Lenovo IdeaPad Slim 3i",34690,I93="Mi NoteBook Ultra",57999,I93="Samsung Galaxy Go",36990,I93="Acer Aspire 3",38980)</f>
        <v>34690</v>
      </c>
      <c r="O93" s="5" t="s">
        <v>1030</v>
      </c>
      <c r="P93" s="1"/>
    </row>
    <row r="94" spans="1:16" x14ac:dyDescent="0.35">
      <c r="A94" s="4">
        <v>13339</v>
      </c>
      <c r="B94" s="5" t="s">
        <v>20</v>
      </c>
      <c r="C94" s="5" t="s">
        <v>129</v>
      </c>
      <c r="D94" s="5" t="s">
        <v>1032</v>
      </c>
      <c r="E94" s="5" t="s">
        <v>1036</v>
      </c>
      <c r="F94" s="5" t="s">
        <v>1013</v>
      </c>
      <c r="G94" s="3" t="s">
        <v>1018</v>
      </c>
      <c r="H94" s="5" t="s">
        <v>229</v>
      </c>
      <c r="I94" s="5" t="s">
        <v>1026</v>
      </c>
      <c r="J94" s="4">
        <v>5433</v>
      </c>
      <c r="K94" s="1">
        <v>43832</v>
      </c>
      <c r="L94" s="1">
        <v>43834</v>
      </c>
      <c r="M94" s="4">
        <v>4</v>
      </c>
      <c r="N94" s="7" cm="1">
        <f t="array" ref="N94">_xlfn.IFS(I94="Dell Inspiron 15",66989,I94="Lenovo IdeaPad Slim 3i",34690,I94="Mi NoteBook Ultra",57999,I94="Samsung Galaxy Go",36990,I94="Acer Aspire 3",38980)</f>
        <v>36990</v>
      </c>
      <c r="O94" s="5" t="s">
        <v>1030</v>
      </c>
      <c r="P94" s="1"/>
    </row>
    <row r="95" spans="1:16" x14ac:dyDescent="0.35">
      <c r="A95" s="4">
        <v>25096</v>
      </c>
      <c r="B95" s="5" t="s">
        <v>230</v>
      </c>
      <c r="C95" s="5" t="s">
        <v>231</v>
      </c>
      <c r="D95" s="5" t="s">
        <v>1032</v>
      </c>
      <c r="E95" s="5" t="s">
        <v>1033</v>
      </c>
      <c r="F95" s="5" t="s">
        <v>1010</v>
      </c>
      <c r="G95" s="3" t="s">
        <v>1015</v>
      </c>
      <c r="H95" s="5" t="s">
        <v>232</v>
      </c>
      <c r="I95" s="5" t="s">
        <v>1023</v>
      </c>
      <c r="J95" s="4">
        <v>5115</v>
      </c>
      <c r="K95" s="1">
        <v>43832</v>
      </c>
      <c r="L95" s="1">
        <v>43833</v>
      </c>
      <c r="M95" s="4">
        <v>2</v>
      </c>
      <c r="N95" s="7" cm="1">
        <f t="array" ref="N95">_xlfn.IFS(I95="Dell Inspiron 15",66989,I95="Lenovo IdeaPad Slim 3i",34690,I95="Mi NoteBook Ultra",57999,I95="Samsung Galaxy Go",36990,I95="Acer Aspire 3",38980)</f>
        <v>66989</v>
      </c>
      <c r="O95" s="5" t="s">
        <v>1030</v>
      </c>
      <c r="P95" s="1"/>
    </row>
    <row r="96" spans="1:16" x14ac:dyDescent="0.35">
      <c r="A96" s="4">
        <v>21959</v>
      </c>
      <c r="B96" s="5" t="s">
        <v>17</v>
      </c>
      <c r="C96" s="5" t="s">
        <v>166</v>
      </c>
      <c r="D96" s="5" t="s">
        <v>1032</v>
      </c>
      <c r="E96" s="5" t="s">
        <v>1034</v>
      </c>
      <c r="F96" s="5" t="s">
        <v>1011</v>
      </c>
      <c r="G96" s="3" t="s">
        <v>1016</v>
      </c>
      <c r="H96" s="5" t="s">
        <v>233</v>
      </c>
      <c r="I96" s="5" t="s">
        <v>1027</v>
      </c>
      <c r="J96" s="4">
        <v>4608</v>
      </c>
      <c r="K96" s="1">
        <v>43841</v>
      </c>
      <c r="L96" s="1">
        <v>43848</v>
      </c>
      <c r="M96" s="4">
        <v>9</v>
      </c>
      <c r="N96" s="7" cm="1">
        <f t="array" ref="N96">_xlfn.IFS(I96="Dell Inspiron 15",66989,I96="Lenovo IdeaPad Slim 3i",34690,I96="Mi NoteBook Ultra",57999,I96="Samsung Galaxy Go",36990,I96="Acer Aspire 3",38980)</f>
        <v>38980</v>
      </c>
      <c r="O96" s="5" t="s">
        <v>1030</v>
      </c>
      <c r="P96" s="1"/>
    </row>
    <row r="97" spans="1:16" x14ac:dyDescent="0.35">
      <c r="A97" s="4">
        <v>12670</v>
      </c>
      <c r="B97" s="5" t="s">
        <v>234</v>
      </c>
      <c r="C97" s="5" t="s">
        <v>24</v>
      </c>
      <c r="D97" s="5" t="s">
        <v>1032</v>
      </c>
      <c r="E97" s="5" t="s">
        <v>1033</v>
      </c>
      <c r="F97" s="5" t="s">
        <v>1010</v>
      </c>
      <c r="G97" s="3" t="s">
        <v>1015</v>
      </c>
      <c r="H97" s="5" t="s">
        <v>235</v>
      </c>
      <c r="I97" s="5" t="s">
        <v>1025</v>
      </c>
      <c r="J97" s="4">
        <v>4721</v>
      </c>
      <c r="K97" s="1">
        <v>43833</v>
      </c>
      <c r="L97" s="1">
        <v>43835</v>
      </c>
      <c r="M97" s="4">
        <v>3</v>
      </c>
      <c r="N97" s="7" cm="1">
        <f t="array" ref="N97">_xlfn.IFS(I97="Dell Inspiron 15",66989,I97="Lenovo IdeaPad Slim 3i",34690,I97="Mi NoteBook Ultra",57999,I97="Samsung Galaxy Go",36990,I97="Acer Aspire 3",38980)</f>
        <v>57999</v>
      </c>
      <c r="O97" s="5" t="s">
        <v>1030</v>
      </c>
      <c r="P97" s="1"/>
    </row>
    <row r="98" spans="1:16" x14ac:dyDescent="0.35">
      <c r="A98" s="4">
        <v>25589</v>
      </c>
      <c r="B98" s="5" t="s">
        <v>236</v>
      </c>
      <c r="C98" s="5" t="s">
        <v>81</v>
      </c>
      <c r="D98" s="5" t="s">
        <v>1032</v>
      </c>
      <c r="E98" s="5" t="s">
        <v>1035</v>
      </c>
      <c r="F98" s="5" t="s">
        <v>1012</v>
      </c>
      <c r="G98" s="3" t="s">
        <v>1017</v>
      </c>
      <c r="H98" s="5" t="s">
        <v>237</v>
      </c>
      <c r="I98" s="5" t="s">
        <v>1026</v>
      </c>
      <c r="J98" s="4">
        <v>5118</v>
      </c>
      <c r="K98" s="1">
        <v>43833</v>
      </c>
      <c r="L98" s="1">
        <v>43840</v>
      </c>
      <c r="M98" s="4">
        <v>1</v>
      </c>
      <c r="N98" s="7" cm="1">
        <f t="array" ref="N98">_xlfn.IFS(I98="Dell Inspiron 15",66989,I98="Lenovo IdeaPad Slim 3i",34690,I98="Mi NoteBook Ultra",57999,I98="Samsung Galaxy Go",36990,I98="Acer Aspire 3",38980)</f>
        <v>36990</v>
      </c>
      <c r="O98" s="5" t="s">
        <v>1030</v>
      </c>
      <c r="P98" s="1"/>
    </row>
    <row r="99" spans="1:16" x14ac:dyDescent="0.35">
      <c r="A99" s="4">
        <v>18955</v>
      </c>
      <c r="B99" s="5" t="s">
        <v>170</v>
      </c>
      <c r="C99" s="5" t="s">
        <v>215</v>
      </c>
      <c r="D99" s="5" t="s">
        <v>1032</v>
      </c>
      <c r="E99" s="5" t="s">
        <v>1035</v>
      </c>
      <c r="F99" s="5" t="s">
        <v>1012</v>
      </c>
      <c r="G99" s="3" t="s">
        <v>1017</v>
      </c>
      <c r="H99" s="5" t="s">
        <v>238</v>
      </c>
      <c r="I99" s="5" t="s">
        <v>1027</v>
      </c>
      <c r="J99" s="4">
        <v>4618</v>
      </c>
      <c r="K99" s="1">
        <v>43833</v>
      </c>
      <c r="L99" s="1">
        <v>43837</v>
      </c>
      <c r="M99" s="4">
        <v>2</v>
      </c>
      <c r="N99" s="7" cm="1">
        <f t="array" ref="N99">_xlfn.IFS(I99="Dell Inspiron 15",66989,I99="Lenovo IdeaPad Slim 3i",34690,I99="Mi NoteBook Ultra",57999,I99="Samsung Galaxy Go",36990,I99="Acer Aspire 3",38980)</f>
        <v>38980</v>
      </c>
      <c r="O99" s="5" t="s">
        <v>1030</v>
      </c>
      <c r="P99" s="1"/>
    </row>
    <row r="100" spans="1:16" x14ac:dyDescent="0.35">
      <c r="A100" s="4">
        <v>21393</v>
      </c>
      <c r="B100" s="5" t="s">
        <v>223</v>
      </c>
      <c r="C100" s="5" t="s">
        <v>7</v>
      </c>
      <c r="D100" s="5" t="s">
        <v>1032</v>
      </c>
      <c r="E100" s="5" t="s">
        <v>1036</v>
      </c>
      <c r="F100" s="5" t="s">
        <v>1013</v>
      </c>
      <c r="G100" s="3" t="s">
        <v>1018</v>
      </c>
      <c r="H100" s="5" t="s">
        <v>239</v>
      </c>
      <c r="I100" s="5" t="s">
        <v>1023</v>
      </c>
      <c r="J100" s="4">
        <v>5129</v>
      </c>
      <c r="K100" s="1">
        <v>43934</v>
      </c>
      <c r="L100" s="1">
        <v>43936</v>
      </c>
      <c r="M100" s="4">
        <v>9</v>
      </c>
      <c r="N100" s="7" cm="1">
        <f t="array" ref="N100">_xlfn.IFS(I100="Dell Inspiron 15",66989,I100="Lenovo IdeaPad Slim 3i",34690,I100="Mi NoteBook Ultra",57999,I100="Samsung Galaxy Go",36990,I100="Acer Aspire 3",38980)</f>
        <v>66989</v>
      </c>
      <c r="O100" s="5" t="s">
        <v>1030</v>
      </c>
      <c r="P100" s="1"/>
    </row>
    <row r="101" spans="1:16" x14ac:dyDescent="0.35">
      <c r="A101" s="4">
        <v>25165</v>
      </c>
      <c r="B101" s="5" t="s">
        <v>240</v>
      </c>
      <c r="C101" s="5" t="s">
        <v>189</v>
      </c>
      <c r="D101" s="5" t="s">
        <v>1032</v>
      </c>
      <c r="E101" s="5" t="s">
        <v>1033</v>
      </c>
      <c r="F101" s="5" t="s">
        <v>1010</v>
      </c>
      <c r="G101" s="3" t="s">
        <v>1015</v>
      </c>
      <c r="H101" s="5" t="s">
        <v>241</v>
      </c>
      <c r="I101" s="5" t="s">
        <v>1025</v>
      </c>
      <c r="J101" s="4">
        <v>4558</v>
      </c>
      <c r="K101" s="1">
        <v>43882</v>
      </c>
      <c r="L101" s="1">
        <v>43882</v>
      </c>
      <c r="M101" s="4">
        <v>2</v>
      </c>
      <c r="N101" s="7" cm="1">
        <f t="array" ref="N101">_xlfn.IFS(I101="Dell Inspiron 15",66989,I101="Lenovo IdeaPad Slim 3i",34690,I101="Mi NoteBook Ultra",57999,I101="Samsung Galaxy Go",36990,I101="Acer Aspire 3",38980)</f>
        <v>57999</v>
      </c>
      <c r="O101" s="5" t="s">
        <v>1030</v>
      </c>
      <c r="P101" s="1"/>
    </row>
    <row r="102" spans="1:16" x14ac:dyDescent="0.35">
      <c r="A102" s="4">
        <v>17461</v>
      </c>
      <c r="B102" s="5" t="s">
        <v>41</v>
      </c>
      <c r="C102" s="5" t="s">
        <v>39</v>
      </c>
      <c r="D102" s="5" t="s">
        <v>1032</v>
      </c>
      <c r="E102" s="5" t="s">
        <v>1034</v>
      </c>
      <c r="F102" s="5" t="s">
        <v>1011</v>
      </c>
      <c r="G102" s="3" t="s">
        <v>1016</v>
      </c>
      <c r="H102" s="5" t="s">
        <v>242</v>
      </c>
      <c r="I102" s="5" t="s">
        <v>1027</v>
      </c>
      <c r="J102" s="4">
        <v>5315</v>
      </c>
      <c r="K102" s="1">
        <v>43973</v>
      </c>
      <c r="L102" s="1">
        <v>43974</v>
      </c>
      <c r="M102" s="4">
        <v>5</v>
      </c>
      <c r="N102" s="7" cm="1">
        <f t="array" ref="N102">_xlfn.IFS(I102="Dell Inspiron 15",66989,I102="Lenovo IdeaPad Slim 3i",34690,I102="Mi NoteBook Ultra",57999,I102="Samsung Galaxy Go",36990,I102="Acer Aspire 3",38980)</f>
        <v>38980</v>
      </c>
      <c r="O102" s="5" t="s">
        <v>1030</v>
      </c>
      <c r="P102" s="1"/>
    </row>
    <row r="103" spans="1:16" x14ac:dyDescent="0.35">
      <c r="A103" s="4">
        <v>20581</v>
      </c>
      <c r="B103" s="5" t="s">
        <v>243</v>
      </c>
      <c r="C103" s="5" t="s">
        <v>208</v>
      </c>
      <c r="D103" s="5" t="s">
        <v>1032</v>
      </c>
      <c r="E103" s="5" t="s">
        <v>1033</v>
      </c>
      <c r="F103" s="5" t="s">
        <v>1010</v>
      </c>
      <c r="G103" s="3" t="s">
        <v>1015</v>
      </c>
      <c r="H103" s="5" t="s">
        <v>244</v>
      </c>
      <c r="I103" s="5" t="s">
        <v>1023</v>
      </c>
      <c r="J103" s="4">
        <v>5518</v>
      </c>
      <c r="K103" s="1">
        <v>43882</v>
      </c>
      <c r="L103" s="1">
        <v>43882</v>
      </c>
      <c r="M103" s="4">
        <v>8</v>
      </c>
      <c r="N103" s="7" cm="1">
        <f t="array" ref="N103">_xlfn.IFS(I103="Dell Inspiron 15",66989,I103="Lenovo IdeaPad Slim 3i",34690,I103="Mi NoteBook Ultra",57999,I103="Samsung Galaxy Go",36990,I103="Acer Aspire 3",38980)</f>
        <v>66989</v>
      </c>
      <c r="O103" s="5" t="s">
        <v>1030</v>
      </c>
      <c r="P103" s="1"/>
    </row>
    <row r="104" spans="1:16" x14ac:dyDescent="0.35">
      <c r="A104" s="4">
        <v>24967</v>
      </c>
      <c r="B104" s="5" t="s">
        <v>151</v>
      </c>
      <c r="C104" s="5" t="s">
        <v>99</v>
      </c>
      <c r="D104" s="5" t="s">
        <v>1032</v>
      </c>
      <c r="E104" s="5" t="s">
        <v>1035</v>
      </c>
      <c r="F104" s="5" t="s">
        <v>1012</v>
      </c>
      <c r="G104" s="3" t="s">
        <v>1017</v>
      </c>
      <c r="H104" s="5" t="s">
        <v>245</v>
      </c>
      <c r="I104" s="5" t="s">
        <v>1024</v>
      </c>
      <c r="J104" s="4">
        <v>4679</v>
      </c>
      <c r="K104" s="1">
        <v>43973</v>
      </c>
      <c r="L104" s="1">
        <v>43973</v>
      </c>
      <c r="M104" s="4">
        <v>1</v>
      </c>
      <c r="N104" s="7" cm="1">
        <f t="array" ref="N104">_xlfn.IFS(I104="Dell Inspiron 15",66989,I104="Lenovo IdeaPad Slim 3i",34690,I104="Mi NoteBook Ultra",57999,I104="Samsung Galaxy Go",36990,I104="Acer Aspire 3",38980)</f>
        <v>34690</v>
      </c>
      <c r="O104" s="5" t="s">
        <v>1030</v>
      </c>
      <c r="P104" s="1"/>
    </row>
    <row r="105" spans="1:16" x14ac:dyDescent="0.35">
      <c r="A105" s="4">
        <v>12801</v>
      </c>
      <c r="B105" s="5" t="s">
        <v>246</v>
      </c>
      <c r="C105" s="5" t="s">
        <v>27</v>
      </c>
      <c r="D105" s="5" t="s">
        <v>1032</v>
      </c>
      <c r="E105" s="5" t="s">
        <v>1035</v>
      </c>
      <c r="F105" s="5" t="s">
        <v>1012</v>
      </c>
      <c r="G105" s="3" t="s">
        <v>1017</v>
      </c>
      <c r="H105" s="5" t="s">
        <v>247</v>
      </c>
      <c r="I105" s="5" t="s">
        <v>1023</v>
      </c>
      <c r="J105" s="4">
        <v>5060</v>
      </c>
      <c r="K105" s="1">
        <v>43973</v>
      </c>
      <c r="L105" s="1">
        <v>43974</v>
      </c>
      <c r="M105" s="4">
        <v>9</v>
      </c>
      <c r="N105" s="7" cm="1">
        <f t="array" ref="N105">_xlfn.IFS(I105="Dell Inspiron 15",66989,I105="Lenovo IdeaPad Slim 3i",34690,I105="Mi NoteBook Ultra",57999,I105="Samsung Galaxy Go",36990,I105="Acer Aspire 3",38980)</f>
        <v>66989</v>
      </c>
      <c r="O105" s="5" t="s">
        <v>1030</v>
      </c>
      <c r="P105" s="1"/>
    </row>
    <row r="106" spans="1:16" x14ac:dyDescent="0.35">
      <c r="A106" s="4">
        <v>24513</v>
      </c>
      <c r="B106" s="5" t="s">
        <v>248</v>
      </c>
      <c r="C106" s="5" t="s">
        <v>249</v>
      </c>
      <c r="D106" s="5" t="s">
        <v>1032</v>
      </c>
      <c r="E106" s="5" t="s">
        <v>1034</v>
      </c>
      <c r="F106" s="5" t="s">
        <v>1011</v>
      </c>
      <c r="G106" s="3" t="s">
        <v>1016</v>
      </c>
      <c r="H106" s="5" t="s">
        <v>250</v>
      </c>
      <c r="I106" s="5" t="s">
        <v>1024</v>
      </c>
      <c r="J106" s="4">
        <v>5331</v>
      </c>
      <c r="K106" s="1">
        <v>43873</v>
      </c>
      <c r="L106" s="1">
        <v>43874</v>
      </c>
      <c r="M106" s="4">
        <v>9</v>
      </c>
      <c r="N106" s="7" cm="1">
        <f t="array" ref="N106">_xlfn.IFS(I106="Dell Inspiron 15",66989,I106="Lenovo IdeaPad Slim 3i",34690,I106="Mi NoteBook Ultra",57999,I106="Samsung Galaxy Go",36990,I106="Acer Aspire 3",38980)</f>
        <v>34690</v>
      </c>
      <c r="O106" s="5" t="s">
        <v>1030</v>
      </c>
      <c r="P106" s="1"/>
    </row>
    <row r="107" spans="1:16" x14ac:dyDescent="0.35">
      <c r="A107" s="4">
        <v>19752</v>
      </c>
      <c r="B107" s="5" t="s">
        <v>74</v>
      </c>
      <c r="C107" s="5" t="s">
        <v>30</v>
      </c>
      <c r="D107" s="5" t="s">
        <v>1032</v>
      </c>
      <c r="E107" s="5" t="s">
        <v>1033</v>
      </c>
      <c r="F107" s="5" t="s">
        <v>1010</v>
      </c>
      <c r="G107" s="3" t="s">
        <v>1015</v>
      </c>
      <c r="H107" s="5" t="s">
        <v>251</v>
      </c>
      <c r="I107" s="5" t="s">
        <v>1025</v>
      </c>
      <c r="J107" s="4">
        <v>5008</v>
      </c>
      <c r="K107" s="1">
        <v>43873</v>
      </c>
      <c r="L107" s="1">
        <v>43876</v>
      </c>
      <c r="M107" s="4">
        <v>10</v>
      </c>
      <c r="N107" s="7" cm="1">
        <f t="array" ref="N107">_xlfn.IFS(I107="Dell Inspiron 15",66989,I107="Lenovo IdeaPad Slim 3i",34690,I107="Mi NoteBook Ultra",57999,I107="Samsung Galaxy Go",36990,I107="Acer Aspire 3",38980)</f>
        <v>57999</v>
      </c>
      <c r="O107" s="5" t="s">
        <v>1030</v>
      </c>
      <c r="P107" s="1"/>
    </row>
    <row r="108" spans="1:16" x14ac:dyDescent="0.35">
      <c r="A108" s="4">
        <v>12954</v>
      </c>
      <c r="B108" s="5" t="s">
        <v>173</v>
      </c>
      <c r="C108" s="5" t="s">
        <v>252</v>
      </c>
      <c r="D108" s="5" t="s">
        <v>1032</v>
      </c>
      <c r="E108" s="5" t="s">
        <v>1035</v>
      </c>
      <c r="F108" s="5" t="s">
        <v>1012</v>
      </c>
      <c r="G108" s="3" t="s">
        <v>1017</v>
      </c>
      <c r="H108" s="5" t="s">
        <v>253</v>
      </c>
      <c r="I108" s="5" t="s">
        <v>1026</v>
      </c>
      <c r="J108" s="4">
        <v>4961</v>
      </c>
      <c r="K108" s="1">
        <v>43930</v>
      </c>
      <c r="L108" s="1">
        <v>43932</v>
      </c>
      <c r="M108" s="4">
        <v>10</v>
      </c>
      <c r="N108" s="7" cm="1">
        <f t="array" ref="N108">_xlfn.IFS(I108="Dell Inspiron 15",66989,I108="Lenovo IdeaPad Slim 3i",34690,I108="Mi NoteBook Ultra",57999,I108="Samsung Galaxy Go",36990,I108="Acer Aspire 3",38980)</f>
        <v>36990</v>
      </c>
      <c r="O108" s="5" t="s">
        <v>1030</v>
      </c>
      <c r="P108" s="1"/>
    </row>
    <row r="109" spans="1:16" x14ac:dyDescent="0.35">
      <c r="A109" s="4">
        <v>16063</v>
      </c>
      <c r="B109" s="5" t="s">
        <v>134</v>
      </c>
      <c r="C109" s="5" t="s">
        <v>254</v>
      </c>
      <c r="D109" s="5" t="s">
        <v>1032</v>
      </c>
      <c r="E109" s="5" t="s">
        <v>1035</v>
      </c>
      <c r="F109" s="5" t="s">
        <v>1012</v>
      </c>
      <c r="G109" s="3" t="s">
        <v>1017</v>
      </c>
      <c r="H109" s="5" t="s">
        <v>255</v>
      </c>
      <c r="I109" s="5" t="s">
        <v>1027</v>
      </c>
      <c r="J109" s="4">
        <v>4530</v>
      </c>
      <c r="K109" s="1">
        <v>43930</v>
      </c>
      <c r="L109" s="1">
        <v>43930</v>
      </c>
      <c r="M109" s="4">
        <v>6</v>
      </c>
      <c r="N109" s="7" cm="1">
        <f t="array" ref="N109">_xlfn.IFS(I109="Dell Inspiron 15",66989,I109="Lenovo IdeaPad Slim 3i",34690,I109="Mi NoteBook Ultra",57999,I109="Samsung Galaxy Go",36990,I109="Acer Aspire 3",38980)</f>
        <v>38980</v>
      </c>
      <c r="O109" s="5" t="s">
        <v>1030</v>
      </c>
      <c r="P109" s="1"/>
    </row>
    <row r="110" spans="1:16" x14ac:dyDescent="0.35">
      <c r="A110" s="4">
        <v>14206</v>
      </c>
      <c r="B110" s="5" t="s">
        <v>214</v>
      </c>
      <c r="C110" s="5" t="s">
        <v>256</v>
      </c>
      <c r="D110" s="5" t="s">
        <v>1032</v>
      </c>
      <c r="E110" s="5" t="s">
        <v>1036</v>
      </c>
      <c r="F110" s="5" t="s">
        <v>1013</v>
      </c>
      <c r="G110" s="3" t="s">
        <v>1018</v>
      </c>
      <c r="H110" s="5" t="s">
        <v>257</v>
      </c>
      <c r="I110" s="5" t="s">
        <v>1023</v>
      </c>
      <c r="J110" s="4">
        <v>4662</v>
      </c>
      <c r="K110" s="1">
        <v>43930</v>
      </c>
      <c r="L110" s="1">
        <v>43931</v>
      </c>
      <c r="M110" s="4">
        <v>6</v>
      </c>
      <c r="N110" s="7" cm="1">
        <f t="array" ref="N110">_xlfn.IFS(I110="Dell Inspiron 15",66989,I110="Lenovo IdeaPad Slim 3i",34690,I110="Mi NoteBook Ultra",57999,I110="Samsung Galaxy Go",36990,I110="Acer Aspire 3",38980)</f>
        <v>66989</v>
      </c>
      <c r="O110" s="5" t="s">
        <v>1030</v>
      </c>
      <c r="P110" s="1"/>
    </row>
    <row r="111" spans="1:16" x14ac:dyDescent="0.35">
      <c r="A111" s="4">
        <v>17253</v>
      </c>
      <c r="B111" s="5" t="s">
        <v>258</v>
      </c>
      <c r="C111" s="5" t="s">
        <v>259</v>
      </c>
      <c r="D111" s="5" t="s">
        <v>1032</v>
      </c>
      <c r="E111" s="5" t="s">
        <v>1033</v>
      </c>
      <c r="F111" s="5" t="s">
        <v>1010</v>
      </c>
      <c r="G111" s="3" t="s">
        <v>1015</v>
      </c>
      <c r="H111" s="5" t="s">
        <v>260</v>
      </c>
      <c r="I111" s="5" t="s">
        <v>1025</v>
      </c>
      <c r="J111" s="4">
        <v>5080</v>
      </c>
      <c r="K111" s="1">
        <v>43833</v>
      </c>
      <c r="L111" s="1">
        <v>43835</v>
      </c>
      <c r="M111" s="4">
        <v>5</v>
      </c>
      <c r="N111" s="7" cm="1">
        <f t="array" ref="N111">_xlfn.IFS(I111="Dell Inspiron 15",66989,I111="Lenovo IdeaPad Slim 3i",34690,I111="Mi NoteBook Ultra",57999,I111="Samsung Galaxy Go",36990,I111="Acer Aspire 3",38980)</f>
        <v>57999</v>
      </c>
      <c r="O111" s="5" t="s">
        <v>1030</v>
      </c>
      <c r="P111" s="1"/>
    </row>
    <row r="112" spans="1:16" x14ac:dyDescent="0.35">
      <c r="A112" s="4">
        <v>18940</v>
      </c>
      <c r="B112" s="5" t="s">
        <v>261</v>
      </c>
      <c r="C112" s="5" t="s">
        <v>262</v>
      </c>
      <c r="D112" s="5" t="s">
        <v>1032</v>
      </c>
      <c r="E112" s="5" t="s">
        <v>1034</v>
      </c>
      <c r="F112" s="5" t="s">
        <v>1011</v>
      </c>
      <c r="G112" s="3" t="s">
        <v>1016</v>
      </c>
      <c r="H112" s="5" t="s">
        <v>263</v>
      </c>
      <c r="I112" s="5" t="s">
        <v>1027</v>
      </c>
      <c r="J112" s="4">
        <v>5246</v>
      </c>
      <c r="K112" s="1">
        <v>43920</v>
      </c>
      <c r="L112" s="1">
        <v>43922</v>
      </c>
      <c r="M112" s="4">
        <v>5</v>
      </c>
      <c r="N112" s="7" cm="1">
        <f t="array" ref="N112">_xlfn.IFS(I112="Dell Inspiron 15",66989,I112="Lenovo IdeaPad Slim 3i",34690,I112="Mi NoteBook Ultra",57999,I112="Samsung Galaxy Go",36990,I112="Acer Aspire 3",38980)</f>
        <v>38980</v>
      </c>
      <c r="O112" s="5" t="s">
        <v>1030</v>
      </c>
      <c r="P112" s="1"/>
    </row>
    <row r="113" spans="1:16" x14ac:dyDescent="0.35">
      <c r="A113" s="4">
        <v>20283</v>
      </c>
      <c r="B113" s="5" t="s">
        <v>220</v>
      </c>
      <c r="C113" s="5" t="s">
        <v>197</v>
      </c>
      <c r="D113" s="5" t="s">
        <v>1032</v>
      </c>
      <c r="E113" s="5" t="s">
        <v>1033</v>
      </c>
      <c r="F113" s="5" t="s">
        <v>1010</v>
      </c>
      <c r="G113" s="3" t="s">
        <v>1015</v>
      </c>
      <c r="H113" s="5" t="s">
        <v>264</v>
      </c>
      <c r="I113" s="5" t="s">
        <v>1023</v>
      </c>
      <c r="J113" s="4">
        <v>4952</v>
      </c>
      <c r="K113" s="1">
        <v>43840</v>
      </c>
      <c r="L113" s="1">
        <v>43841</v>
      </c>
      <c r="M113" s="4">
        <v>9</v>
      </c>
      <c r="N113" s="7" cm="1">
        <f t="array" ref="N113">_xlfn.IFS(I113="Dell Inspiron 15",66989,I113="Lenovo IdeaPad Slim 3i",34690,I113="Mi NoteBook Ultra",57999,I113="Samsung Galaxy Go",36990,I113="Acer Aspire 3",38980)</f>
        <v>66989</v>
      </c>
      <c r="O113" s="5" t="s">
        <v>1030</v>
      </c>
      <c r="P113" s="1"/>
    </row>
    <row r="114" spans="1:16" x14ac:dyDescent="0.35">
      <c r="A114" s="4">
        <v>18690</v>
      </c>
      <c r="B114" s="5" t="s">
        <v>265</v>
      </c>
      <c r="C114" s="5" t="s">
        <v>96</v>
      </c>
      <c r="D114" s="5" t="s">
        <v>1032</v>
      </c>
      <c r="E114" s="5" t="s">
        <v>1035</v>
      </c>
      <c r="F114" s="5" t="s">
        <v>1012</v>
      </c>
      <c r="G114" s="3" t="s">
        <v>1017</v>
      </c>
      <c r="H114" s="5" t="s">
        <v>266</v>
      </c>
      <c r="I114" s="5" t="s">
        <v>1024</v>
      </c>
      <c r="J114" s="4">
        <v>4967</v>
      </c>
      <c r="K114" s="1">
        <v>43920</v>
      </c>
      <c r="L114" s="1">
        <v>43922</v>
      </c>
      <c r="M114" s="4">
        <v>7</v>
      </c>
      <c r="N114" s="7" cm="1">
        <f t="array" ref="N114">_xlfn.IFS(I114="Dell Inspiron 15",66989,I114="Lenovo IdeaPad Slim 3i",34690,I114="Mi NoteBook Ultra",57999,I114="Samsung Galaxy Go",36990,I114="Acer Aspire 3",38980)</f>
        <v>34690</v>
      </c>
      <c r="O114" s="5" t="s">
        <v>1030</v>
      </c>
      <c r="P114" s="1"/>
    </row>
    <row r="115" spans="1:16" x14ac:dyDescent="0.35">
      <c r="A115" s="4">
        <v>25256</v>
      </c>
      <c r="B115" s="5" t="s">
        <v>178</v>
      </c>
      <c r="C115" s="5" t="s">
        <v>267</v>
      </c>
      <c r="D115" s="5" t="s">
        <v>1032</v>
      </c>
      <c r="E115" s="5" t="s">
        <v>1035</v>
      </c>
      <c r="F115" s="5" t="s">
        <v>1012</v>
      </c>
      <c r="G115" s="3" t="s">
        <v>1017</v>
      </c>
      <c r="H115" s="5" t="s">
        <v>268</v>
      </c>
      <c r="I115" s="5" t="s">
        <v>1026</v>
      </c>
      <c r="J115" s="4">
        <v>5039</v>
      </c>
      <c r="K115" s="1">
        <v>43923</v>
      </c>
      <c r="L115" s="1">
        <v>43925</v>
      </c>
      <c r="M115" s="4">
        <v>10</v>
      </c>
      <c r="N115" s="7" cm="1">
        <f t="array" ref="N115">_xlfn.IFS(I115="Dell Inspiron 15",66989,I115="Lenovo IdeaPad Slim 3i",34690,I115="Mi NoteBook Ultra",57999,I115="Samsung Galaxy Go",36990,I115="Acer Aspire 3",38980)</f>
        <v>36990</v>
      </c>
      <c r="O115" s="5" t="s">
        <v>1030</v>
      </c>
      <c r="P115" s="1"/>
    </row>
    <row r="116" spans="1:16" x14ac:dyDescent="0.35">
      <c r="A116" s="4">
        <v>21441</v>
      </c>
      <c r="B116" s="5" t="s">
        <v>11</v>
      </c>
      <c r="C116" s="5" t="s">
        <v>269</v>
      </c>
      <c r="D116" s="5" t="s">
        <v>1032</v>
      </c>
      <c r="E116" s="5" t="s">
        <v>1036</v>
      </c>
      <c r="F116" s="5" t="s">
        <v>1013</v>
      </c>
      <c r="G116" s="3" t="s">
        <v>1018</v>
      </c>
      <c r="H116" s="5" t="s">
        <v>270</v>
      </c>
      <c r="I116" s="5" t="s">
        <v>1023</v>
      </c>
      <c r="J116" s="4">
        <v>5417</v>
      </c>
      <c r="K116" s="1">
        <v>43923</v>
      </c>
      <c r="L116" s="1">
        <v>43925</v>
      </c>
      <c r="M116" s="4">
        <v>10</v>
      </c>
      <c r="N116" s="7" cm="1">
        <f t="array" ref="N116">_xlfn.IFS(I116="Dell Inspiron 15",66989,I116="Lenovo IdeaPad Slim 3i",34690,I116="Mi NoteBook Ultra",57999,I116="Samsung Galaxy Go",36990,I116="Acer Aspire 3",38980)</f>
        <v>66989</v>
      </c>
      <c r="O116" s="5" t="s">
        <v>1030</v>
      </c>
      <c r="P116" s="1"/>
    </row>
    <row r="117" spans="1:16" x14ac:dyDescent="0.35">
      <c r="A117" s="4">
        <v>24863</v>
      </c>
      <c r="B117" s="5" t="s">
        <v>23</v>
      </c>
      <c r="C117" s="5" t="s">
        <v>271</v>
      </c>
      <c r="D117" s="5" t="s">
        <v>1032</v>
      </c>
      <c r="E117" s="5" t="s">
        <v>1033</v>
      </c>
      <c r="F117" s="5" t="s">
        <v>1010</v>
      </c>
      <c r="G117" s="3" t="s">
        <v>1015</v>
      </c>
      <c r="H117" s="5" t="s">
        <v>272</v>
      </c>
      <c r="I117" s="5" t="s">
        <v>1027</v>
      </c>
      <c r="J117" s="4">
        <v>5303</v>
      </c>
      <c r="K117" s="1">
        <v>43948</v>
      </c>
      <c r="L117" s="1">
        <v>43949</v>
      </c>
      <c r="M117" s="4">
        <v>8</v>
      </c>
      <c r="N117" s="7" cm="1">
        <f t="array" ref="N117">_xlfn.IFS(I117="Dell Inspiron 15",66989,I117="Lenovo IdeaPad Slim 3i",34690,I117="Mi NoteBook Ultra",57999,I117="Samsung Galaxy Go",36990,I117="Acer Aspire 3",38980)</f>
        <v>38980</v>
      </c>
      <c r="O117" s="5" t="s">
        <v>1030</v>
      </c>
      <c r="P117" s="1"/>
    </row>
    <row r="118" spans="1:16" x14ac:dyDescent="0.35">
      <c r="A118" s="4">
        <v>24048</v>
      </c>
      <c r="B118" s="5" t="s">
        <v>95</v>
      </c>
      <c r="C118" s="5" t="s">
        <v>273</v>
      </c>
      <c r="D118" s="5" t="s">
        <v>1032</v>
      </c>
      <c r="E118" s="5" t="s">
        <v>1034</v>
      </c>
      <c r="F118" s="5" t="s">
        <v>1011</v>
      </c>
      <c r="G118" s="3" t="s">
        <v>1016</v>
      </c>
      <c r="H118" s="5" t="s">
        <v>274</v>
      </c>
      <c r="I118" s="5" t="s">
        <v>1026</v>
      </c>
      <c r="J118" s="4">
        <v>5486</v>
      </c>
      <c r="K118" s="1">
        <v>43846</v>
      </c>
      <c r="L118" s="1">
        <v>43848</v>
      </c>
      <c r="M118" s="4">
        <v>10</v>
      </c>
      <c r="N118" s="7" cm="1">
        <f t="array" ref="N118">_xlfn.IFS(I118="Dell Inspiron 15",66989,I118="Lenovo IdeaPad Slim 3i",34690,I118="Mi NoteBook Ultra",57999,I118="Samsung Galaxy Go",36990,I118="Acer Aspire 3",38980)</f>
        <v>36990</v>
      </c>
      <c r="O118" s="5" t="s">
        <v>1030</v>
      </c>
      <c r="P118" s="1"/>
    </row>
    <row r="119" spans="1:16" x14ac:dyDescent="0.35">
      <c r="A119" s="4">
        <v>13748</v>
      </c>
      <c r="B119" s="5" t="s">
        <v>275</v>
      </c>
      <c r="C119" s="5" t="s">
        <v>114</v>
      </c>
      <c r="D119" s="5" t="s">
        <v>1032</v>
      </c>
      <c r="E119" s="5" t="s">
        <v>1033</v>
      </c>
      <c r="F119" s="5" t="s">
        <v>1010</v>
      </c>
      <c r="G119" s="3" t="s">
        <v>1015</v>
      </c>
      <c r="H119" s="5" t="s">
        <v>276</v>
      </c>
      <c r="I119" s="5" t="s">
        <v>1027</v>
      </c>
      <c r="J119" s="4">
        <v>4739</v>
      </c>
      <c r="K119" s="1">
        <v>43847</v>
      </c>
      <c r="L119" s="1">
        <v>43851</v>
      </c>
      <c r="M119" s="4">
        <v>8</v>
      </c>
      <c r="N119" s="7" cm="1">
        <f t="array" ref="N119">_xlfn.IFS(I119="Dell Inspiron 15",66989,I119="Lenovo IdeaPad Slim 3i",34690,I119="Mi NoteBook Ultra",57999,I119="Samsung Galaxy Go",36990,I119="Acer Aspire 3",38980)</f>
        <v>38980</v>
      </c>
      <c r="O119" s="5" t="s">
        <v>1030</v>
      </c>
      <c r="P119" s="1"/>
    </row>
    <row r="120" spans="1:16" x14ac:dyDescent="0.35">
      <c r="A120" s="4">
        <v>25125</v>
      </c>
      <c r="B120" s="5" t="s">
        <v>277</v>
      </c>
      <c r="C120" s="5" t="s">
        <v>278</v>
      </c>
      <c r="D120" s="5" t="s">
        <v>1032</v>
      </c>
      <c r="E120" s="5" t="s">
        <v>1035</v>
      </c>
      <c r="F120" s="5" t="s">
        <v>1012</v>
      </c>
      <c r="G120" s="3" t="s">
        <v>1017</v>
      </c>
      <c r="H120" s="5" t="s">
        <v>279</v>
      </c>
      <c r="I120" s="5" t="s">
        <v>1023</v>
      </c>
      <c r="J120" s="4">
        <v>5494</v>
      </c>
      <c r="K120" s="1">
        <v>43984</v>
      </c>
      <c r="L120" s="1">
        <v>43984</v>
      </c>
      <c r="M120" s="4">
        <v>5</v>
      </c>
      <c r="N120" s="7" cm="1">
        <f t="array" ref="N120">_xlfn.IFS(I120="Dell Inspiron 15",66989,I120="Lenovo IdeaPad Slim 3i",34690,I120="Mi NoteBook Ultra",57999,I120="Samsung Galaxy Go",36990,I120="Acer Aspire 3",38980)</f>
        <v>66989</v>
      </c>
      <c r="O120" s="5" t="s">
        <v>1030</v>
      </c>
      <c r="P120" s="1"/>
    </row>
    <row r="121" spans="1:16" x14ac:dyDescent="0.35">
      <c r="A121" s="4">
        <v>16719</v>
      </c>
      <c r="B121" s="5" t="s">
        <v>246</v>
      </c>
      <c r="C121" s="5" t="s">
        <v>162</v>
      </c>
      <c r="D121" s="5" t="s">
        <v>1032</v>
      </c>
      <c r="E121" s="5" t="s">
        <v>1035</v>
      </c>
      <c r="F121" s="5" t="s">
        <v>1012</v>
      </c>
      <c r="G121" s="3" t="s">
        <v>1017</v>
      </c>
      <c r="H121" s="5" t="s">
        <v>280</v>
      </c>
      <c r="I121" s="5" t="s">
        <v>1025</v>
      </c>
      <c r="J121" s="4">
        <v>4771</v>
      </c>
      <c r="K121" s="1">
        <v>43984</v>
      </c>
      <c r="L121" s="1">
        <v>43984</v>
      </c>
      <c r="M121" s="4">
        <v>4</v>
      </c>
      <c r="N121" s="7" cm="1">
        <f t="array" ref="N121">_xlfn.IFS(I121="Dell Inspiron 15",66989,I121="Lenovo IdeaPad Slim 3i",34690,I121="Mi NoteBook Ultra",57999,I121="Samsung Galaxy Go",36990,I121="Acer Aspire 3",38980)</f>
        <v>57999</v>
      </c>
      <c r="O121" s="5" t="s">
        <v>1030</v>
      </c>
      <c r="P121" s="1"/>
    </row>
    <row r="122" spans="1:16" x14ac:dyDescent="0.35">
      <c r="A122" s="4">
        <v>16256</v>
      </c>
      <c r="B122" s="5" t="s">
        <v>69</v>
      </c>
      <c r="C122" s="5" t="s">
        <v>86</v>
      </c>
      <c r="D122" s="5" t="s">
        <v>1032</v>
      </c>
      <c r="E122" s="5" t="s">
        <v>1036</v>
      </c>
      <c r="F122" s="5" t="s">
        <v>1013</v>
      </c>
      <c r="G122" s="3" t="s">
        <v>1018</v>
      </c>
      <c r="H122" s="5" t="s">
        <v>281</v>
      </c>
      <c r="I122" s="5" t="s">
        <v>1027</v>
      </c>
      <c r="J122" s="4">
        <v>5089</v>
      </c>
      <c r="K122" s="1">
        <v>43963</v>
      </c>
      <c r="L122" s="1">
        <v>43964</v>
      </c>
      <c r="M122" s="4">
        <v>1</v>
      </c>
      <c r="N122" s="7" cm="1">
        <f t="array" ref="N122">_xlfn.IFS(I122="Dell Inspiron 15",66989,I122="Lenovo IdeaPad Slim 3i",34690,I122="Mi NoteBook Ultra",57999,I122="Samsung Galaxy Go",36990,I122="Acer Aspire 3",38980)</f>
        <v>38980</v>
      </c>
      <c r="O122" s="5" t="s">
        <v>1030</v>
      </c>
      <c r="P122" s="1"/>
    </row>
    <row r="123" spans="1:16" x14ac:dyDescent="0.35">
      <c r="A123" s="4">
        <v>21026</v>
      </c>
      <c r="B123" s="5" t="s">
        <v>205</v>
      </c>
      <c r="C123" s="5" t="s">
        <v>129</v>
      </c>
      <c r="D123" s="5" t="s">
        <v>1032</v>
      </c>
      <c r="E123" s="5" t="s">
        <v>1036</v>
      </c>
      <c r="F123" s="5" t="s">
        <v>1013</v>
      </c>
      <c r="G123" s="3" t="s">
        <v>1018</v>
      </c>
      <c r="H123" s="5" t="s">
        <v>282</v>
      </c>
      <c r="I123" s="5" t="s">
        <v>1023</v>
      </c>
      <c r="J123" s="4">
        <v>5158</v>
      </c>
      <c r="K123" s="1">
        <v>43929</v>
      </c>
      <c r="L123" s="1">
        <v>43930</v>
      </c>
      <c r="M123" s="4">
        <v>1</v>
      </c>
      <c r="N123" s="7" cm="1">
        <f t="array" ref="N123">_xlfn.IFS(I123="Dell Inspiron 15",66989,I123="Lenovo IdeaPad Slim 3i",34690,I123="Mi NoteBook Ultra",57999,I123="Samsung Galaxy Go",36990,I123="Acer Aspire 3",38980)</f>
        <v>66989</v>
      </c>
      <c r="O123" s="5" t="s">
        <v>1030</v>
      </c>
    </row>
    <row r="124" spans="1:16" x14ac:dyDescent="0.35">
      <c r="A124" s="4">
        <v>16701</v>
      </c>
      <c r="B124" s="5" t="s">
        <v>283</v>
      </c>
      <c r="C124" s="5" t="s">
        <v>284</v>
      </c>
      <c r="D124" s="5" t="s">
        <v>1032</v>
      </c>
      <c r="E124" s="5" t="s">
        <v>1033</v>
      </c>
      <c r="F124" s="5" t="s">
        <v>1010</v>
      </c>
      <c r="G124" s="3" t="s">
        <v>1015</v>
      </c>
      <c r="H124" s="5" t="s">
        <v>285</v>
      </c>
      <c r="I124" s="5" t="s">
        <v>1024</v>
      </c>
      <c r="J124" s="4">
        <v>5162</v>
      </c>
      <c r="K124" s="1">
        <v>43979</v>
      </c>
      <c r="L124" s="1">
        <v>43979</v>
      </c>
      <c r="M124" s="4">
        <v>1</v>
      </c>
      <c r="N124" s="7" cm="1">
        <f t="array" ref="N124">_xlfn.IFS(I124="Dell Inspiron 15",66989,I124="Lenovo IdeaPad Slim 3i",34690,I124="Mi NoteBook Ultra",57999,I124="Samsung Galaxy Go",36990,I124="Acer Aspire 3",38980)</f>
        <v>34690</v>
      </c>
      <c r="O124" s="5" t="s">
        <v>1030</v>
      </c>
    </row>
    <row r="125" spans="1:16" x14ac:dyDescent="0.35">
      <c r="A125" s="4">
        <v>21583</v>
      </c>
      <c r="B125" s="5" t="s">
        <v>14</v>
      </c>
      <c r="C125" s="5" t="s">
        <v>75</v>
      </c>
      <c r="D125" s="5" t="s">
        <v>1032</v>
      </c>
      <c r="E125" s="5" t="s">
        <v>1034</v>
      </c>
      <c r="F125" s="5" t="s">
        <v>1011</v>
      </c>
      <c r="G125" s="3" t="s">
        <v>1016</v>
      </c>
      <c r="H125" s="5" t="s">
        <v>286</v>
      </c>
      <c r="I125" s="5" t="s">
        <v>1026</v>
      </c>
      <c r="J125" s="4">
        <v>5503</v>
      </c>
      <c r="K125" s="1">
        <v>43873</v>
      </c>
      <c r="L125" s="1">
        <v>43876</v>
      </c>
      <c r="M125" s="4">
        <v>3</v>
      </c>
      <c r="N125" s="7" cm="1">
        <f t="array" ref="N125">_xlfn.IFS(I125="Dell Inspiron 15",66989,I125="Lenovo IdeaPad Slim 3i",34690,I125="Mi NoteBook Ultra",57999,I125="Samsung Galaxy Go",36990,I125="Acer Aspire 3",38980)</f>
        <v>36990</v>
      </c>
      <c r="O125" s="5" t="s">
        <v>1030</v>
      </c>
    </row>
    <row r="126" spans="1:16" x14ac:dyDescent="0.35">
      <c r="A126" s="4">
        <v>17298</v>
      </c>
      <c r="B126" s="5" t="s">
        <v>156</v>
      </c>
      <c r="C126" s="5" t="s">
        <v>162</v>
      </c>
      <c r="D126" s="5" t="s">
        <v>1032</v>
      </c>
      <c r="E126" s="5" t="s">
        <v>1033</v>
      </c>
      <c r="F126" s="5" t="s">
        <v>1010</v>
      </c>
      <c r="G126" s="3" t="s">
        <v>1015</v>
      </c>
      <c r="H126" s="5" t="s">
        <v>287</v>
      </c>
      <c r="I126" s="5" t="s">
        <v>1023</v>
      </c>
      <c r="J126" s="4">
        <v>5225</v>
      </c>
      <c r="K126" s="1">
        <v>43873</v>
      </c>
      <c r="L126" s="1">
        <v>43875</v>
      </c>
      <c r="M126" s="4">
        <v>4</v>
      </c>
      <c r="N126" s="7" cm="1">
        <f t="array" ref="N126">_xlfn.IFS(I126="Dell Inspiron 15",66989,I126="Lenovo IdeaPad Slim 3i",34690,I126="Mi NoteBook Ultra",57999,I126="Samsung Galaxy Go",36990,I126="Acer Aspire 3",38980)</f>
        <v>66989</v>
      </c>
      <c r="O126" s="5" t="s">
        <v>1030</v>
      </c>
    </row>
    <row r="127" spans="1:16" x14ac:dyDescent="0.35">
      <c r="A127" s="4">
        <v>18655</v>
      </c>
      <c r="B127" s="5" t="s">
        <v>288</v>
      </c>
      <c r="C127" s="5" t="s">
        <v>164</v>
      </c>
      <c r="D127" s="5" t="s">
        <v>1032</v>
      </c>
      <c r="E127" s="5" t="s">
        <v>1035</v>
      </c>
      <c r="F127" s="5" t="s">
        <v>1012</v>
      </c>
      <c r="G127" s="3" t="s">
        <v>1017</v>
      </c>
      <c r="H127" s="5" t="s">
        <v>289</v>
      </c>
      <c r="I127" s="5" t="s">
        <v>1027</v>
      </c>
      <c r="J127" s="4">
        <v>4831</v>
      </c>
      <c r="K127" s="1">
        <v>43966</v>
      </c>
      <c r="L127" s="1">
        <v>43967</v>
      </c>
      <c r="M127" s="4">
        <v>6</v>
      </c>
      <c r="N127" s="7" cm="1">
        <f t="array" ref="N127">_xlfn.IFS(I127="Dell Inspiron 15",66989,I127="Lenovo IdeaPad Slim 3i",34690,I127="Mi NoteBook Ultra",57999,I127="Samsung Galaxy Go",36990,I127="Acer Aspire 3",38980)</f>
        <v>38980</v>
      </c>
      <c r="O127" s="5" t="s">
        <v>1030</v>
      </c>
    </row>
    <row r="128" spans="1:16" x14ac:dyDescent="0.35">
      <c r="A128" s="4">
        <v>14705</v>
      </c>
      <c r="B128" s="5" t="s">
        <v>290</v>
      </c>
      <c r="C128" s="5" t="s">
        <v>291</v>
      </c>
      <c r="D128" s="5" t="s">
        <v>1032</v>
      </c>
      <c r="E128" s="5" t="s">
        <v>1035</v>
      </c>
      <c r="F128" s="5" t="s">
        <v>1012</v>
      </c>
      <c r="G128" s="3" t="s">
        <v>1017</v>
      </c>
      <c r="H128" s="5" t="s">
        <v>292</v>
      </c>
      <c r="I128" s="5" t="s">
        <v>1025</v>
      </c>
      <c r="J128" s="4">
        <v>5082</v>
      </c>
      <c r="K128" s="1">
        <v>43972</v>
      </c>
      <c r="L128" s="1">
        <v>43974</v>
      </c>
      <c r="M128" s="4">
        <v>5</v>
      </c>
      <c r="N128" s="7" cm="1">
        <f t="array" ref="N128">_xlfn.IFS(I128="Dell Inspiron 15",66989,I128="Lenovo IdeaPad Slim 3i",34690,I128="Mi NoteBook Ultra",57999,I128="Samsung Galaxy Go",36990,I128="Acer Aspire 3",38980)</f>
        <v>57999</v>
      </c>
      <c r="O128" s="5" t="s">
        <v>1030</v>
      </c>
    </row>
    <row r="129" spans="1:15" x14ac:dyDescent="0.35">
      <c r="A129" s="4">
        <v>14044</v>
      </c>
      <c r="B129" s="5" t="s">
        <v>293</v>
      </c>
      <c r="C129" s="5" t="s">
        <v>294</v>
      </c>
      <c r="D129" s="5" t="s">
        <v>1032</v>
      </c>
      <c r="E129" s="5" t="s">
        <v>1036</v>
      </c>
      <c r="F129" s="5" t="s">
        <v>1013</v>
      </c>
      <c r="G129" s="3" t="s">
        <v>1018</v>
      </c>
      <c r="H129" s="5" t="s">
        <v>295</v>
      </c>
      <c r="I129" s="5" t="s">
        <v>1026</v>
      </c>
      <c r="J129" s="4">
        <v>4873</v>
      </c>
      <c r="K129" s="1">
        <v>43966</v>
      </c>
      <c r="L129" s="1">
        <v>43967</v>
      </c>
      <c r="M129" s="4">
        <v>8</v>
      </c>
      <c r="N129" s="7" cm="1">
        <f t="array" ref="N129">_xlfn.IFS(I129="Dell Inspiron 15",66989,I129="Lenovo IdeaPad Slim 3i",34690,I129="Mi NoteBook Ultra",57999,I129="Samsung Galaxy Go",36990,I129="Acer Aspire 3",38980)</f>
        <v>36990</v>
      </c>
      <c r="O129" s="5" t="s">
        <v>1030</v>
      </c>
    </row>
    <row r="130" spans="1:15" x14ac:dyDescent="0.35">
      <c r="A130" s="4">
        <v>24696</v>
      </c>
      <c r="B130" s="5" t="s">
        <v>296</v>
      </c>
      <c r="C130" s="5" t="s">
        <v>297</v>
      </c>
      <c r="D130" s="5" t="s">
        <v>1032</v>
      </c>
      <c r="E130" s="5" t="s">
        <v>1033</v>
      </c>
      <c r="F130" s="5" t="s">
        <v>1010</v>
      </c>
      <c r="G130" s="3" t="s">
        <v>1015</v>
      </c>
      <c r="H130" s="5" t="s">
        <v>298</v>
      </c>
      <c r="I130" s="5" t="s">
        <v>1027</v>
      </c>
      <c r="J130" s="4">
        <v>5330</v>
      </c>
      <c r="K130" s="1">
        <v>43972</v>
      </c>
      <c r="L130" s="1">
        <v>43973</v>
      </c>
      <c r="M130" s="4">
        <v>2</v>
      </c>
      <c r="N130" s="7" cm="1">
        <f t="array" ref="N130">_xlfn.IFS(I130="Dell Inspiron 15",66989,I130="Lenovo IdeaPad Slim 3i",34690,I130="Mi NoteBook Ultra",57999,I130="Samsung Galaxy Go",36990,I130="Acer Aspire 3",38980)</f>
        <v>38980</v>
      </c>
      <c r="O130" s="5" t="s">
        <v>1030</v>
      </c>
    </row>
    <row r="131" spans="1:15" x14ac:dyDescent="0.35">
      <c r="A131" s="4">
        <v>24781</v>
      </c>
      <c r="B131" s="5" t="s">
        <v>178</v>
      </c>
      <c r="C131" s="5" t="s">
        <v>42</v>
      </c>
      <c r="D131" s="5" t="s">
        <v>1032</v>
      </c>
      <c r="E131" s="5" t="s">
        <v>1034</v>
      </c>
      <c r="F131" s="5" t="s">
        <v>1011</v>
      </c>
      <c r="G131" s="3" t="s">
        <v>1016</v>
      </c>
      <c r="H131" s="5" t="s">
        <v>299</v>
      </c>
      <c r="I131" s="5" t="s">
        <v>1023</v>
      </c>
      <c r="J131" s="4">
        <v>4870</v>
      </c>
      <c r="K131" s="1">
        <v>43972</v>
      </c>
      <c r="L131" s="1">
        <v>43974</v>
      </c>
      <c r="M131" s="4">
        <v>10</v>
      </c>
      <c r="N131" s="7" cm="1">
        <f t="array" ref="N131">_xlfn.IFS(I131="Dell Inspiron 15",66989,I131="Lenovo IdeaPad Slim 3i",34690,I131="Mi NoteBook Ultra",57999,I131="Samsung Galaxy Go",36990,I131="Acer Aspire 3",38980)</f>
        <v>66989</v>
      </c>
      <c r="O131" s="5" t="s">
        <v>1030</v>
      </c>
    </row>
    <row r="132" spans="1:15" x14ac:dyDescent="0.35">
      <c r="A132" s="4">
        <v>17375</v>
      </c>
      <c r="B132" s="5" t="s">
        <v>218</v>
      </c>
      <c r="C132" s="5" t="s">
        <v>297</v>
      </c>
      <c r="D132" s="5" t="s">
        <v>1032</v>
      </c>
      <c r="E132" s="5" t="s">
        <v>1033</v>
      </c>
      <c r="F132" s="5" t="s">
        <v>1010</v>
      </c>
      <c r="G132" s="3" t="s">
        <v>1015</v>
      </c>
      <c r="H132" s="5" t="s">
        <v>300</v>
      </c>
      <c r="I132" s="5" t="s">
        <v>1025</v>
      </c>
      <c r="J132" s="4">
        <v>5328</v>
      </c>
      <c r="K132" s="1">
        <v>43858</v>
      </c>
      <c r="L132" s="1">
        <v>43859</v>
      </c>
      <c r="M132" s="4">
        <v>3</v>
      </c>
      <c r="N132" s="7" cm="1">
        <f t="array" ref="N132">_xlfn.IFS(I132="Dell Inspiron 15",66989,I132="Lenovo IdeaPad Slim 3i",34690,I132="Mi NoteBook Ultra",57999,I132="Samsung Galaxy Go",36990,I132="Acer Aspire 3",38980)</f>
        <v>57999</v>
      </c>
      <c r="O132" s="5" t="s">
        <v>1030</v>
      </c>
    </row>
    <row r="133" spans="1:15" x14ac:dyDescent="0.35">
      <c r="A133" s="4">
        <v>12726</v>
      </c>
      <c r="B133" s="5" t="s">
        <v>261</v>
      </c>
      <c r="C133" s="5" t="s">
        <v>301</v>
      </c>
      <c r="D133" s="5" t="s">
        <v>1032</v>
      </c>
      <c r="E133" s="5" t="s">
        <v>1035</v>
      </c>
      <c r="F133" s="5" t="s">
        <v>1012</v>
      </c>
      <c r="G133" s="3" t="s">
        <v>1017</v>
      </c>
      <c r="H133" s="5" t="s">
        <v>302</v>
      </c>
      <c r="I133" s="5" t="s">
        <v>1027</v>
      </c>
      <c r="J133" s="4">
        <v>4985</v>
      </c>
      <c r="K133" s="1">
        <v>43858</v>
      </c>
      <c r="L133" s="1">
        <v>43860</v>
      </c>
      <c r="M133" s="4">
        <v>1</v>
      </c>
      <c r="N133" s="7" cm="1">
        <f t="array" ref="N133">_xlfn.IFS(I133="Dell Inspiron 15",66989,I133="Lenovo IdeaPad Slim 3i",34690,I133="Mi NoteBook Ultra",57999,I133="Samsung Galaxy Go",36990,I133="Acer Aspire 3",38980)</f>
        <v>38980</v>
      </c>
      <c r="O133" s="5" t="s">
        <v>1030</v>
      </c>
    </row>
    <row r="134" spans="1:15" x14ac:dyDescent="0.35">
      <c r="A134" s="4">
        <v>16451</v>
      </c>
      <c r="B134" s="5" t="s">
        <v>230</v>
      </c>
      <c r="C134" s="5" t="s">
        <v>303</v>
      </c>
      <c r="D134" s="5" t="s">
        <v>1032</v>
      </c>
      <c r="E134" s="5" t="s">
        <v>1035</v>
      </c>
      <c r="F134" s="5" t="s">
        <v>1012</v>
      </c>
      <c r="G134" s="3" t="s">
        <v>1017</v>
      </c>
      <c r="H134" s="5" t="s">
        <v>304</v>
      </c>
      <c r="I134" s="5" t="s">
        <v>1023</v>
      </c>
      <c r="J134" s="4">
        <v>5069</v>
      </c>
      <c r="K134" s="1">
        <v>43953</v>
      </c>
      <c r="L134" s="1">
        <v>43955</v>
      </c>
      <c r="M134" s="4">
        <v>2</v>
      </c>
      <c r="N134" s="7" cm="1">
        <f t="array" ref="N134">_xlfn.IFS(I134="Dell Inspiron 15",66989,I134="Lenovo IdeaPad Slim 3i",34690,I134="Mi NoteBook Ultra",57999,I134="Samsung Galaxy Go",36990,I134="Acer Aspire 3",38980)</f>
        <v>66989</v>
      </c>
      <c r="O134" s="5" t="s">
        <v>1030</v>
      </c>
    </row>
    <row r="135" spans="1:15" x14ac:dyDescent="0.35">
      <c r="A135" s="4">
        <v>13368</v>
      </c>
      <c r="B135" s="5" t="s">
        <v>305</v>
      </c>
      <c r="C135" s="5" t="s">
        <v>111</v>
      </c>
      <c r="D135" s="5" t="s">
        <v>1032</v>
      </c>
      <c r="E135" s="5" t="s">
        <v>1036</v>
      </c>
      <c r="F135" s="5" t="s">
        <v>1013</v>
      </c>
      <c r="G135" s="3" t="s">
        <v>1018</v>
      </c>
      <c r="H135" s="5" t="s">
        <v>306</v>
      </c>
      <c r="I135" s="5" t="s">
        <v>1024</v>
      </c>
      <c r="J135" s="4">
        <v>5386</v>
      </c>
      <c r="K135" s="1">
        <v>43883</v>
      </c>
      <c r="L135" s="1">
        <v>43884</v>
      </c>
      <c r="M135" s="4">
        <v>2</v>
      </c>
      <c r="N135" s="7" cm="1">
        <f t="array" ref="N135">_xlfn.IFS(I135="Dell Inspiron 15",66989,I135="Lenovo IdeaPad Slim 3i",34690,I135="Mi NoteBook Ultra",57999,I135="Samsung Galaxy Go",36990,I135="Acer Aspire 3",38980)</f>
        <v>34690</v>
      </c>
      <c r="O135" s="5" t="s">
        <v>1030</v>
      </c>
    </row>
    <row r="136" spans="1:15" x14ac:dyDescent="0.35">
      <c r="A136" s="4">
        <v>16722</v>
      </c>
      <c r="B136" s="5" t="s">
        <v>35</v>
      </c>
      <c r="C136" s="5" t="s">
        <v>307</v>
      </c>
      <c r="D136" s="5" t="s">
        <v>1032</v>
      </c>
      <c r="E136" s="5" t="s">
        <v>1033</v>
      </c>
      <c r="F136" s="5" t="s">
        <v>1010</v>
      </c>
      <c r="G136" s="3" t="s">
        <v>1015</v>
      </c>
      <c r="H136" s="5" t="s">
        <v>308</v>
      </c>
      <c r="I136" s="5" t="s">
        <v>1025</v>
      </c>
      <c r="J136" s="4">
        <v>4568</v>
      </c>
      <c r="K136" s="1">
        <v>43917</v>
      </c>
      <c r="L136" s="1">
        <v>43918</v>
      </c>
      <c r="M136" s="4">
        <v>6</v>
      </c>
      <c r="N136" s="7" cm="1">
        <f t="array" ref="N136">_xlfn.IFS(I136="Dell Inspiron 15",66989,I136="Lenovo IdeaPad Slim 3i",34690,I136="Mi NoteBook Ultra",57999,I136="Samsung Galaxy Go",36990,I136="Acer Aspire 3",38980)</f>
        <v>57999</v>
      </c>
      <c r="O136" s="5" t="s">
        <v>1030</v>
      </c>
    </row>
    <row r="137" spans="1:15" x14ac:dyDescent="0.35">
      <c r="A137" s="4">
        <v>24446</v>
      </c>
      <c r="B137" s="5" t="s">
        <v>309</v>
      </c>
      <c r="C137" s="5" t="s">
        <v>310</v>
      </c>
      <c r="D137" s="5" t="s">
        <v>1032</v>
      </c>
      <c r="E137" s="5" t="s">
        <v>1036</v>
      </c>
      <c r="F137" s="5" t="s">
        <v>1013</v>
      </c>
      <c r="G137" s="3" t="s">
        <v>1018</v>
      </c>
      <c r="H137" s="5" t="s">
        <v>311</v>
      </c>
      <c r="I137" s="5" t="s">
        <v>1026</v>
      </c>
      <c r="J137" s="4">
        <v>4711</v>
      </c>
      <c r="K137" s="1">
        <v>43850</v>
      </c>
      <c r="L137" s="1">
        <v>43852</v>
      </c>
      <c r="M137" s="4">
        <v>10</v>
      </c>
      <c r="N137" s="7" cm="1">
        <f t="array" ref="N137">_xlfn.IFS(I137="Dell Inspiron 15",66989,I137="Lenovo IdeaPad Slim 3i",34690,I137="Mi NoteBook Ultra",57999,I137="Samsung Galaxy Go",36990,I137="Acer Aspire 3",38980)</f>
        <v>36990</v>
      </c>
      <c r="O137" s="5" t="s">
        <v>1030</v>
      </c>
    </row>
    <row r="138" spans="1:15" x14ac:dyDescent="0.35">
      <c r="A138" s="4">
        <v>19623</v>
      </c>
      <c r="B138" s="5" t="s">
        <v>74</v>
      </c>
      <c r="C138" s="5" t="s">
        <v>312</v>
      </c>
      <c r="D138" s="5" t="s">
        <v>1032</v>
      </c>
      <c r="E138" s="5" t="s">
        <v>1033</v>
      </c>
      <c r="F138" s="5" t="s">
        <v>1010</v>
      </c>
      <c r="G138" s="3" t="s">
        <v>1015</v>
      </c>
      <c r="H138" s="5" t="s">
        <v>313</v>
      </c>
      <c r="I138" s="5" t="s">
        <v>1027</v>
      </c>
      <c r="J138" s="4">
        <v>4815</v>
      </c>
      <c r="K138" s="1">
        <v>43902</v>
      </c>
      <c r="L138" s="1">
        <v>43909</v>
      </c>
      <c r="M138" s="4">
        <v>4</v>
      </c>
      <c r="N138" s="7" cm="1">
        <f t="array" ref="N138">_xlfn.IFS(I138="Dell Inspiron 15",66989,I138="Lenovo IdeaPad Slim 3i",34690,I138="Mi NoteBook Ultra",57999,I138="Samsung Galaxy Go",36990,I138="Acer Aspire 3",38980)</f>
        <v>38980</v>
      </c>
      <c r="O138" s="5" t="s">
        <v>1030</v>
      </c>
    </row>
    <row r="139" spans="1:15" x14ac:dyDescent="0.35">
      <c r="A139" s="4">
        <v>18653</v>
      </c>
      <c r="B139" s="5" t="s">
        <v>314</v>
      </c>
      <c r="C139" s="5" t="s">
        <v>48</v>
      </c>
      <c r="D139" s="5" t="s">
        <v>1032</v>
      </c>
      <c r="E139" s="5" t="s">
        <v>1034</v>
      </c>
      <c r="F139" s="5" t="s">
        <v>1011</v>
      </c>
      <c r="G139" s="3" t="s">
        <v>1016</v>
      </c>
      <c r="H139" s="5" t="s">
        <v>315</v>
      </c>
      <c r="I139" s="5" t="s">
        <v>1023</v>
      </c>
      <c r="J139" s="4">
        <v>5311</v>
      </c>
      <c r="K139" s="1">
        <v>43997</v>
      </c>
      <c r="L139" s="1">
        <v>43999</v>
      </c>
      <c r="M139" s="4">
        <v>2</v>
      </c>
      <c r="N139" s="7" cm="1">
        <f t="array" ref="N139">_xlfn.IFS(I139="Dell Inspiron 15",66989,I139="Lenovo IdeaPad Slim 3i",34690,I139="Mi NoteBook Ultra",57999,I139="Samsung Galaxy Go",36990,I139="Acer Aspire 3",38980)</f>
        <v>66989</v>
      </c>
      <c r="O139" s="5" t="s">
        <v>1030</v>
      </c>
    </row>
    <row r="140" spans="1:15" x14ac:dyDescent="0.35">
      <c r="A140" s="4">
        <v>23317</v>
      </c>
      <c r="B140" s="5" t="s">
        <v>316</v>
      </c>
      <c r="C140" s="5" t="s">
        <v>317</v>
      </c>
      <c r="D140" s="5" t="s">
        <v>1032</v>
      </c>
      <c r="E140" s="5" t="s">
        <v>1033</v>
      </c>
      <c r="F140" s="5" t="s">
        <v>1010</v>
      </c>
      <c r="G140" s="3" t="s">
        <v>1015</v>
      </c>
      <c r="H140" s="5" t="s">
        <v>318</v>
      </c>
      <c r="I140" s="5" t="s">
        <v>1025</v>
      </c>
      <c r="J140" s="4">
        <v>4893</v>
      </c>
      <c r="K140" s="1">
        <v>43997</v>
      </c>
      <c r="L140" s="1">
        <v>43998</v>
      </c>
      <c r="M140" s="4">
        <v>5</v>
      </c>
      <c r="N140" s="7" cm="1">
        <f t="array" ref="N140">_xlfn.IFS(I140="Dell Inspiron 15",66989,I140="Lenovo IdeaPad Slim 3i",34690,I140="Mi NoteBook Ultra",57999,I140="Samsung Galaxy Go",36990,I140="Acer Aspire 3",38980)</f>
        <v>57999</v>
      </c>
      <c r="O140" s="5" t="s">
        <v>1030</v>
      </c>
    </row>
    <row r="141" spans="1:15" x14ac:dyDescent="0.35">
      <c r="A141" s="4">
        <v>18924</v>
      </c>
      <c r="B141" s="5" t="s">
        <v>319</v>
      </c>
      <c r="C141" s="5" t="s">
        <v>75</v>
      </c>
      <c r="D141" s="5" t="s">
        <v>1032</v>
      </c>
      <c r="E141" s="5" t="s">
        <v>1035</v>
      </c>
      <c r="F141" s="5" t="s">
        <v>1012</v>
      </c>
      <c r="G141" s="3" t="s">
        <v>1017</v>
      </c>
      <c r="H141" s="5" t="s">
        <v>320</v>
      </c>
      <c r="I141" s="5" t="s">
        <v>1027</v>
      </c>
      <c r="J141" s="4">
        <v>4855</v>
      </c>
      <c r="K141" s="1">
        <v>43961</v>
      </c>
      <c r="L141" s="1">
        <v>43962</v>
      </c>
      <c r="M141" s="4">
        <v>8</v>
      </c>
      <c r="N141" s="7" cm="1">
        <f t="array" ref="N141">_xlfn.IFS(I141="Dell Inspiron 15",66989,I141="Lenovo IdeaPad Slim 3i",34690,I141="Mi NoteBook Ultra",57999,I141="Samsung Galaxy Go",36990,I141="Acer Aspire 3",38980)</f>
        <v>38980</v>
      </c>
      <c r="O141" s="5" t="s">
        <v>1030</v>
      </c>
    </row>
    <row r="142" spans="1:15" x14ac:dyDescent="0.35">
      <c r="A142" s="4">
        <v>17061</v>
      </c>
      <c r="B142" s="5" t="s">
        <v>321</v>
      </c>
      <c r="C142" s="5" t="s">
        <v>297</v>
      </c>
      <c r="D142" s="5" t="s">
        <v>1032</v>
      </c>
      <c r="E142" s="5" t="s">
        <v>1035</v>
      </c>
      <c r="F142" s="5" t="s">
        <v>1012</v>
      </c>
      <c r="G142" s="3" t="s">
        <v>1017</v>
      </c>
      <c r="H142" s="5" t="s">
        <v>322</v>
      </c>
      <c r="I142" s="5" t="s">
        <v>1023</v>
      </c>
      <c r="J142" s="4">
        <v>5170</v>
      </c>
      <c r="K142" s="1">
        <v>43900</v>
      </c>
      <c r="L142" s="1">
        <v>43900</v>
      </c>
      <c r="M142" s="4">
        <v>1</v>
      </c>
      <c r="N142" s="7" cm="1">
        <f t="array" ref="N142">_xlfn.IFS(I142="Dell Inspiron 15",66989,I142="Lenovo IdeaPad Slim 3i",34690,I142="Mi NoteBook Ultra",57999,I142="Samsung Galaxy Go",36990,I142="Acer Aspire 3",38980)</f>
        <v>66989</v>
      </c>
      <c r="O142" s="5" t="s">
        <v>1030</v>
      </c>
    </row>
    <row r="143" spans="1:15" x14ac:dyDescent="0.35">
      <c r="A143" s="4">
        <v>19458</v>
      </c>
      <c r="B143" s="5" t="s">
        <v>20</v>
      </c>
      <c r="C143" s="5" t="s">
        <v>271</v>
      </c>
      <c r="D143" s="5" t="s">
        <v>1032</v>
      </c>
      <c r="E143" s="5" t="s">
        <v>1036</v>
      </c>
      <c r="F143" s="5" t="s">
        <v>1013</v>
      </c>
      <c r="G143" s="3" t="s">
        <v>1018</v>
      </c>
      <c r="H143" s="5" t="s">
        <v>323</v>
      </c>
      <c r="I143" s="5" t="s">
        <v>1024</v>
      </c>
      <c r="J143" s="4">
        <v>4791</v>
      </c>
      <c r="K143" s="1">
        <v>43858</v>
      </c>
      <c r="L143" s="1">
        <v>43860</v>
      </c>
      <c r="M143" s="4">
        <v>7</v>
      </c>
      <c r="N143" s="7" cm="1">
        <f t="array" ref="N143">_xlfn.IFS(I143="Dell Inspiron 15",66989,I143="Lenovo IdeaPad Slim 3i",34690,I143="Mi NoteBook Ultra",57999,I143="Samsung Galaxy Go",36990,I143="Acer Aspire 3",38980)</f>
        <v>34690</v>
      </c>
      <c r="O143" s="5" t="s">
        <v>1030</v>
      </c>
    </row>
    <row r="144" spans="1:15" x14ac:dyDescent="0.35">
      <c r="A144" s="4">
        <v>21427</v>
      </c>
      <c r="B144" s="5" t="s">
        <v>324</v>
      </c>
      <c r="C144" s="5" t="s">
        <v>325</v>
      </c>
      <c r="D144" s="5" t="s">
        <v>1032</v>
      </c>
      <c r="E144" s="5" t="s">
        <v>1033</v>
      </c>
      <c r="F144" s="5" t="s">
        <v>1010</v>
      </c>
      <c r="G144" s="3" t="s">
        <v>1015</v>
      </c>
      <c r="H144" s="5" t="s">
        <v>326</v>
      </c>
      <c r="I144" s="5" t="s">
        <v>1026</v>
      </c>
      <c r="J144" s="4">
        <v>5442</v>
      </c>
      <c r="K144" s="1">
        <v>43900</v>
      </c>
      <c r="L144" s="1">
        <v>43901</v>
      </c>
      <c r="M144" s="4">
        <v>10</v>
      </c>
      <c r="N144" s="7" cm="1">
        <f t="array" ref="N144">_xlfn.IFS(I144="Dell Inspiron 15",66989,I144="Lenovo IdeaPad Slim 3i",34690,I144="Mi NoteBook Ultra",57999,I144="Samsung Galaxy Go",36990,I144="Acer Aspire 3",38980)</f>
        <v>36990</v>
      </c>
      <c r="O144" s="5" t="s">
        <v>1030</v>
      </c>
    </row>
    <row r="145" spans="1:15" x14ac:dyDescent="0.35">
      <c r="A145" s="4">
        <v>23937</v>
      </c>
      <c r="B145" s="5" t="s">
        <v>327</v>
      </c>
      <c r="C145" s="5" t="s">
        <v>218</v>
      </c>
      <c r="D145" s="5" t="s">
        <v>1032</v>
      </c>
      <c r="E145" s="5" t="s">
        <v>1034</v>
      </c>
      <c r="F145" s="5" t="s">
        <v>1011</v>
      </c>
      <c r="G145" s="3" t="s">
        <v>1016</v>
      </c>
      <c r="H145" s="5" t="s">
        <v>328</v>
      </c>
      <c r="I145" s="5" t="s">
        <v>1023</v>
      </c>
      <c r="J145" s="4">
        <v>4603</v>
      </c>
      <c r="K145" s="1">
        <v>43941</v>
      </c>
      <c r="L145" s="1">
        <v>43942</v>
      </c>
      <c r="M145" s="4">
        <v>8</v>
      </c>
      <c r="N145" s="7" cm="1">
        <f t="array" ref="N145">_xlfn.IFS(I145="Dell Inspiron 15",66989,I145="Lenovo IdeaPad Slim 3i",34690,I145="Mi NoteBook Ultra",57999,I145="Samsung Galaxy Go",36990,I145="Acer Aspire 3",38980)</f>
        <v>66989</v>
      </c>
      <c r="O145" s="5" t="s">
        <v>1030</v>
      </c>
    </row>
    <row r="146" spans="1:15" x14ac:dyDescent="0.35">
      <c r="A146" s="4">
        <v>25543</v>
      </c>
      <c r="B146" s="5" t="s">
        <v>305</v>
      </c>
      <c r="C146" s="5" t="s">
        <v>108</v>
      </c>
      <c r="D146" s="5" t="s">
        <v>1032</v>
      </c>
      <c r="E146" s="5" t="s">
        <v>1033</v>
      </c>
      <c r="F146" s="5" t="s">
        <v>1010</v>
      </c>
      <c r="G146" s="3" t="s">
        <v>1015</v>
      </c>
      <c r="H146" s="5" t="s">
        <v>329</v>
      </c>
      <c r="I146" s="5" t="s">
        <v>1027</v>
      </c>
      <c r="J146" s="4">
        <v>5002</v>
      </c>
      <c r="K146" s="1">
        <v>43941</v>
      </c>
      <c r="L146" s="1">
        <v>43942</v>
      </c>
      <c r="M146" s="4">
        <v>9</v>
      </c>
      <c r="N146" s="7" cm="1">
        <f t="array" ref="N146">_xlfn.IFS(I146="Dell Inspiron 15",66989,I146="Lenovo IdeaPad Slim 3i",34690,I146="Mi NoteBook Ultra",57999,I146="Samsung Galaxy Go",36990,I146="Acer Aspire 3",38980)</f>
        <v>38980</v>
      </c>
      <c r="O146" s="5" t="s">
        <v>1030</v>
      </c>
    </row>
    <row r="147" spans="1:15" x14ac:dyDescent="0.35">
      <c r="A147" s="4">
        <v>23164</v>
      </c>
      <c r="B147" s="5" t="s">
        <v>83</v>
      </c>
      <c r="C147" s="5" t="s">
        <v>78</v>
      </c>
      <c r="D147" s="5" t="s">
        <v>1032</v>
      </c>
      <c r="E147" s="5" t="s">
        <v>1035</v>
      </c>
      <c r="F147" s="5" t="s">
        <v>1012</v>
      </c>
      <c r="G147" s="3" t="s">
        <v>1017</v>
      </c>
      <c r="H147" s="5" t="s">
        <v>330</v>
      </c>
      <c r="I147" s="5" t="s">
        <v>1025</v>
      </c>
      <c r="J147" s="4">
        <v>5291</v>
      </c>
      <c r="K147" s="1">
        <v>43960</v>
      </c>
      <c r="L147" s="1">
        <v>43962</v>
      </c>
      <c r="M147" s="4">
        <v>1</v>
      </c>
      <c r="N147" s="7" cm="1">
        <f t="array" ref="N147">_xlfn.IFS(I147="Dell Inspiron 15",66989,I147="Lenovo IdeaPad Slim 3i",34690,I147="Mi NoteBook Ultra",57999,I147="Samsung Galaxy Go",36990,I147="Acer Aspire 3",38980)</f>
        <v>57999</v>
      </c>
      <c r="O147" s="5" t="s">
        <v>1030</v>
      </c>
    </row>
    <row r="148" spans="1:15" x14ac:dyDescent="0.35">
      <c r="A148" s="4">
        <v>14019</v>
      </c>
      <c r="B148" s="5" t="s">
        <v>243</v>
      </c>
      <c r="C148" s="5" t="s">
        <v>291</v>
      </c>
      <c r="D148" s="5" t="s">
        <v>1032</v>
      </c>
      <c r="E148" s="5" t="s">
        <v>1035</v>
      </c>
      <c r="F148" s="5" t="s">
        <v>1012</v>
      </c>
      <c r="G148" s="3" t="s">
        <v>1017</v>
      </c>
      <c r="H148" s="5" t="s">
        <v>331</v>
      </c>
      <c r="I148" s="5" t="s">
        <v>1026</v>
      </c>
      <c r="J148" s="4">
        <v>4966</v>
      </c>
      <c r="K148" s="1">
        <v>43994</v>
      </c>
      <c r="L148" s="1">
        <v>43996</v>
      </c>
      <c r="M148" s="4">
        <v>2</v>
      </c>
      <c r="N148" s="7" cm="1">
        <f t="array" ref="N148">_xlfn.IFS(I148="Dell Inspiron 15",66989,I148="Lenovo IdeaPad Slim 3i",34690,I148="Mi NoteBook Ultra",57999,I148="Samsung Galaxy Go",36990,I148="Acer Aspire 3",38980)</f>
        <v>36990</v>
      </c>
      <c r="O148" s="5" t="s">
        <v>1030</v>
      </c>
    </row>
    <row r="149" spans="1:15" x14ac:dyDescent="0.35">
      <c r="A149" s="4">
        <v>16273</v>
      </c>
      <c r="B149" s="5" t="s">
        <v>258</v>
      </c>
      <c r="C149" s="5" t="s">
        <v>168</v>
      </c>
      <c r="D149" s="5" t="s">
        <v>1032</v>
      </c>
      <c r="E149" s="5" t="s">
        <v>1036</v>
      </c>
      <c r="F149" s="5" t="s">
        <v>1013</v>
      </c>
      <c r="G149" s="3" t="s">
        <v>1018</v>
      </c>
      <c r="H149" s="5" t="s">
        <v>332</v>
      </c>
      <c r="I149" s="5" t="s">
        <v>1027</v>
      </c>
      <c r="J149" s="4">
        <v>4759</v>
      </c>
      <c r="K149" s="1">
        <v>43892</v>
      </c>
      <c r="L149" s="1">
        <v>43894</v>
      </c>
      <c r="M149" s="4">
        <v>5</v>
      </c>
      <c r="N149" s="7" cm="1">
        <f t="array" ref="N149">_xlfn.IFS(I149="Dell Inspiron 15",66989,I149="Lenovo IdeaPad Slim 3i",34690,I149="Mi NoteBook Ultra",57999,I149="Samsung Galaxy Go",36990,I149="Acer Aspire 3",38980)</f>
        <v>38980</v>
      </c>
      <c r="O149" s="5" t="s">
        <v>1030</v>
      </c>
    </row>
    <row r="150" spans="1:15" x14ac:dyDescent="0.35">
      <c r="A150" s="4">
        <v>22228</v>
      </c>
      <c r="B150" s="5" t="s">
        <v>290</v>
      </c>
      <c r="C150" s="5" t="s">
        <v>48</v>
      </c>
      <c r="D150" s="5" t="s">
        <v>1032</v>
      </c>
      <c r="E150" s="5" t="s">
        <v>1033</v>
      </c>
      <c r="F150" s="5" t="s">
        <v>1010</v>
      </c>
      <c r="G150" s="3" t="s">
        <v>1015</v>
      </c>
      <c r="H150" s="5" t="s">
        <v>333</v>
      </c>
      <c r="I150" s="5" t="s">
        <v>1023</v>
      </c>
      <c r="J150" s="4">
        <v>4651</v>
      </c>
      <c r="K150" s="1">
        <v>43892</v>
      </c>
      <c r="L150" s="1">
        <v>43892</v>
      </c>
      <c r="M150" s="4">
        <v>8</v>
      </c>
      <c r="N150" s="7" cm="1">
        <f t="array" ref="N150">_xlfn.IFS(I150="Dell Inspiron 15",66989,I150="Lenovo IdeaPad Slim 3i",34690,I150="Mi NoteBook Ultra",57999,I150="Samsung Galaxy Go",36990,I150="Acer Aspire 3",38980)</f>
        <v>66989</v>
      </c>
      <c r="O150" s="5" t="s">
        <v>1030</v>
      </c>
    </row>
    <row r="151" spans="1:15" x14ac:dyDescent="0.35">
      <c r="A151" s="4">
        <v>16722</v>
      </c>
      <c r="B151" s="5" t="s">
        <v>334</v>
      </c>
      <c r="C151" s="5" t="s">
        <v>162</v>
      </c>
      <c r="D151" s="5" t="s">
        <v>1032</v>
      </c>
      <c r="E151" s="5" t="s">
        <v>1034</v>
      </c>
      <c r="F151" s="5" t="s">
        <v>1011</v>
      </c>
      <c r="G151" s="3" t="s">
        <v>1016</v>
      </c>
      <c r="H151" s="5" t="s">
        <v>335</v>
      </c>
      <c r="I151" s="5" t="s">
        <v>1025</v>
      </c>
      <c r="J151" s="4">
        <v>4869</v>
      </c>
      <c r="K151" s="1">
        <v>43832</v>
      </c>
      <c r="L151" s="1">
        <v>43839</v>
      </c>
      <c r="M151" s="4">
        <v>4</v>
      </c>
      <c r="N151" s="7" cm="1">
        <f t="array" ref="N151">_xlfn.IFS(I151="Dell Inspiron 15",66989,I151="Lenovo IdeaPad Slim 3i",34690,I151="Mi NoteBook Ultra",57999,I151="Samsung Galaxy Go",36990,I151="Acer Aspire 3",38980)</f>
        <v>57999</v>
      </c>
      <c r="O151" s="5" t="s">
        <v>1030</v>
      </c>
    </row>
    <row r="152" spans="1:15" x14ac:dyDescent="0.35">
      <c r="A152" s="4">
        <v>19054</v>
      </c>
      <c r="B152" s="5" t="s">
        <v>336</v>
      </c>
      <c r="C152" s="5" t="s">
        <v>30</v>
      </c>
      <c r="D152" s="5" t="s">
        <v>1032</v>
      </c>
      <c r="E152" s="5" t="s">
        <v>1033</v>
      </c>
      <c r="F152" s="5" t="s">
        <v>1010</v>
      </c>
      <c r="G152" s="3" t="s">
        <v>1015</v>
      </c>
      <c r="H152" s="5" t="s">
        <v>337</v>
      </c>
      <c r="I152" s="5" t="s">
        <v>1027</v>
      </c>
      <c r="J152" s="4">
        <v>4545</v>
      </c>
      <c r="K152" s="1">
        <v>43832</v>
      </c>
      <c r="L152" s="1">
        <v>43832</v>
      </c>
      <c r="M152" s="4">
        <v>8</v>
      </c>
      <c r="N152" s="7" cm="1">
        <f t="array" ref="N152">_xlfn.IFS(I152="Dell Inspiron 15",66989,I152="Lenovo IdeaPad Slim 3i",34690,I152="Mi NoteBook Ultra",57999,I152="Samsung Galaxy Go",36990,I152="Acer Aspire 3",38980)</f>
        <v>38980</v>
      </c>
      <c r="O152" s="5" t="s">
        <v>1030</v>
      </c>
    </row>
    <row r="153" spans="1:15" x14ac:dyDescent="0.35">
      <c r="A153" s="4">
        <v>14795</v>
      </c>
      <c r="B153" s="5" t="s">
        <v>338</v>
      </c>
      <c r="C153" s="5" t="s">
        <v>218</v>
      </c>
      <c r="D153" s="5" t="s">
        <v>1032</v>
      </c>
      <c r="E153" s="5" t="s">
        <v>1035</v>
      </c>
      <c r="F153" s="5" t="s">
        <v>1012</v>
      </c>
      <c r="G153" s="3" t="s">
        <v>1017</v>
      </c>
      <c r="H153" s="5" t="s">
        <v>339</v>
      </c>
      <c r="I153" s="5" t="s">
        <v>1023</v>
      </c>
      <c r="J153" s="4">
        <v>4648</v>
      </c>
      <c r="K153" s="1">
        <v>43832</v>
      </c>
      <c r="L153" s="1">
        <v>43834</v>
      </c>
      <c r="M153" s="4">
        <v>7</v>
      </c>
      <c r="N153" s="7" cm="1">
        <f t="array" ref="N153">_xlfn.IFS(I153="Dell Inspiron 15",66989,I153="Lenovo IdeaPad Slim 3i",34690,I153="Mi NoteBook Ultra",57999,I153="Samsung Galaxy Go",36990,I153="Acer Aspire 3",38980)</f>
        <v>66989</v>
      </c>
      <c r="O153" s="5" t="s">
        <v>1030</v>
      </c>
    </row>
    <row r="154" spans="1:15" x14ac:dyDescent="0.35">
      <c r="A154" s="4">
        <v>25005</v>
      </c>
      <c r="B154" s="5" t="s">
        <v>340</v>
      </c>
      <c r="C154" s="5" t="s">
        <v>18</v>
      </c>
      <c r="D154" s="5" t="s">
        <v>1032</v>
      </c>
      <c r="E154" s="5" t="s">
        <v>1035</v>
      </c>
      <c r="F154" s="5" t="s">
        <v>1012</v>
      </c>
      <c r="G154" s="3" t="s">
        <v>1017</v>
      </c>
      <c r="H154" s="5" t="s">
        <v>341</v>
      </c>
      <c r="I154" s="5" t="s">
        <v>1024</v>
      </c>
      <c r="J154" s="4">
        <v>5288</v>
      </c>
      <c r="K154" s="1">
        <v>43832</v>
      </c>
      <c r="L154" s="1">
        <v>43839</v>
      </c>
      <c r="M154" s="4">
        <v>9</v>
      </c>
      <c r="N154" s="7" cm="1">
        <f t="array" ref="N154">_xlfn.IFS(I154="Dell Inspiron 15",66989,I154="Lenovo IdeaPad Slim 3i",34690,I154="Mi NoteBook Ultra",57999,I154="Samsung Galaxy Go",36990,I154="Acer Aspire 3",38980)</f>
        <v>34690</v>
      </c>
      <c r="O154" s="5" t="s">
        <v>1030</v>
      </c>
    </row>
    <row r="155" spans="1:15" x14ac:dyDescent="0.35">
      <c r="A155" s="4">
        <v>13069</v>
      </c>
      <c r="B155" s="5" t="s">
        <v>17</v>
      </c>
      <c r="C155" s="5" t="s">
        <v>307</v>
      </c>
      <c r="D155" s="5" t="s">
        <v>1032</v>
      </c>
      <c r="E155" s="5" t="s">
        <v>1035</v>
      </c>
      <c r="F155" s="5" t="s">
        <v>1012</v>
      </c>
      <c r="G155" s="3" t="s">
        <v>1017</v>
      </c>
      <c r="H155" s="5" t="s">
        <v>342</v>
      </c>
      <c r="I155" s="5" t="s">
        <v>1023</v>
      </c>
      <c r="J155" s="4">
        <v>5377</v>
      </c>
      <c r="K155" s="1">
        <v>43863</v>
      </c>
      <c r="L155" s="1">
        <v>43865</v>
      </c>
      <c r="M155" s="4">
        <v>5</v>
      </c>
      <c r="N155" s="7" cm="1">
        <f t="array" ref="N155">_xlfn.IFS(I155="Dell Inspiron 15",66989,I155="Lenovo IdeaPad Slim 3i",34690,I155="Mi NoteBook Ultra",57999,I155="Samsung Galaxy Go",36990,I155="Acer Aspire 3",38980)</f>
        <v>66989</v>
      </c>
      <c r="O155" s="5" t="s">
        <v>1030</v>
      </c>
    </row>
    <row r="156" spans="1:15" x14ac:dyDescent="0.35">
      <c r="A156" s="4">
        <v>15238</v>
      </c>
      <c r="B156" s="5" t="s">
        <v>288</v>
      </c>
      <c r="C156" s="5" t="s">
        <v>343</v>
      </c>
      <c r="D156" s="5" t="s">
        <v>1032</v>
      </c>
      <c r="E156" s="5" t="s">
        <v>1036</v>
      </c>
      <c r="F156" s="5" t="s">
        <v>1013</v>
      </c>
      <c r="G156" s="3" t="s">
        <v>1018</v>
      </c>
      <c r="H156" s="5" t="s">
        <v>344</v>
      </c>
      <c r="I156" s="5" t="s">
        <v>1024</v>
      </c>
      <c r="J156" s="4">
        <v>4918</v>
      </c>
      <c r="K156" s="1">
        <v>43863</v>
      </c>
      <c r="L156" s="1">
        <v>43865</v>
      </c>
      <c r="M156" s="4">
        <v>7</v>
      </c>
      <c r="N156" s="7" cm="1">
        <f t="array" ref="N156">_xlfn.IFS(I156="Dell Inspiron 15",66989,I156="Lenovo IdeaPad Slim 3i",34690,I156="Mi NoteBook Ultra",57999,I156="Samsung Galaxy Go",36990,I156="Acer Aspire 3",38980)</f>
        <v>34690</v>
      </c>
      <c r="O156" s="5" t="s">
        <v>1030</v>
      </c>
    </row>
    <row r="157" spans="1:15" x14ac:dyDescent="0.35">
      <c r="A157" s="4">
        <v>19890</v>
      </c>
      <c r="B157" s="5" t="s">
        <v>345</v>
      </c>
      <c r="C157" s="5" t="s">
        <v>231</v>
      </c>
      <c r="D157" s="5" t="s">
        <v>1032</v>
      </c>
      <c r="E157" s="5" t="s">
        <v>1033</v>
      </c>
      <c r="F157" s="5" t="s">
        <v>1010</v>
      </c>
      <c r="G157" s="3" t="s">
        <v>1015</v>
      </c>
      <c r="H157" s="5" t="s">
        <v>346</v>
      </c>
      <c r="I157" s="5" t="s">
        <v>1025</v>
      </c>
      <c r="J157" s="4">
        <v>5493</v>
      </c>
      <c r="K157" s="1">
        <v>43905</v>
      </c>
      <c r="L157" s="1">
        <v>43905</v>
      </c>
      <c r="M157" s="4">
        <v>9</v>
      </c>
      <c r="N157" s="7" cm="1">
        <f t="array" ref="N157">_xlfn.IFS(I157="Dell Inspiron 15",66989,I157="Lenovo IdeaPad Slim 3i",34690,I157="Mi NoteBook Ultra",57999,I157="Samsung Galaxy Go",36990,I157="Acer Aspire 3",38980)</f>
        <v>57999</v>
      </c>
      <c r="O157" s="5" t="s">
        <v>1030</v>
      </c>
    </row>
    <row r="158" spans="1:15" x14ac:dyDescent="0.35">
      <c r="A158" s="4">
        <v>17803</v>
      </c>
      <c r="B158" s="5" t="s">
        <v>347</v>
      </c>
      <c r="C158" s="5" t="s">
        <v>348</v>
      </c>
      <c r="D158" s="5" t="s">
        <v>1032</v>
      </c>
      <c r="E158" s="5" t="s">
        <v>1034</v>
      </c>
      <c r="F158" s="5" t="s">
        <v>1011</v>
      </c>
      <c r="G158" s="3" t="s">
        <v>1016</v>
      </c>
      <c r="H158" s="5" t="s">
        <v>349</v>
      </c>
      <c r="I158" s="5" t="s">
        <v>1026</v>
      </c>
      <c r="J158" s="4">
        <v>4704</v>
      </c>
      <c r="K158" s="1">
        <v>43863</v>
      </c>
      <c r="L158" s="1">
        <v>43864</v>
      </c>
      <c r="M158" s="4">
        <v>4</v>
      </c>
      <c r="N158" s="7" cm="1">
        <f t="array" ref="N158">_xlfn.IFS(I158="Dell Inspiron 15",66989,I158="Lenovo IdeaPad Slim 3i",34690,I158="Mi NoteBook Ultra",57999,I158="Samsung Galaxy Go",36990,I158="Acer Aspire 3",38980)</f>
        <v>36990</v>
      </c>
      <c r="O158" s="5" t="s">
        <v>1030</v>
      </c>
    </row>
    <row r="159" spans="1:15" x14ac:dyDescent="0.35">
      <c r="A159" s="4">
        <v>20565</v>
      </c>
      <c r="B159" s="5" t="s">
        <v>261</v>
      </c>
      <c r="C159" s="5" t="s">
        <v>350</v>
      </c>
      <c r="D159" s="5" t="s">
        <v>1032</v>
      </c>
      <c r="E159" s="5" t="s">
        <v>1033</v>
      </c>
      <c r="F159" s="5" t="s">
        <v>1010</v>
      </c>
      <c r="G159" s="3" t="s">
        <v>1015</v>
      </c>
      <c r="H159" s="5" t="s">
        <v>351</v>
      </c>
      <c r="I159" s="5" t="s">
        <v>1027</v>
      </c>
      <c r="J159" s="4">
        <v>5192</v>
      </c>
      <c r="K159" s="1">
        <v>43920</v>
      </c>
      <c r="L159" s="1">
        <v>43923</v>
      </c>
      <c r="M159" s="4">
        <v>1</v>
      </c>
      <c r="N159" s="7" cm="1">
        <f t="array" ref="N159">_xlfn.IFS(I159="Dell Inspiron 15",66989,I159="Lenovo IdeaPad Slim 3i",34690,I159="Mi NoteBook Ultra",57999,I159="Samsung Galaxy Go",36990,I159="Acer Aspire 3",38980)</f>
        <v>38980</v>
      </c>
      <c r="O159" s="5" t="s">
        <v>1030</v>
      </c>
    </row>
    <row r="160" spans="1:15" x14ac:dyDescent="0.35">
      <c r="A160" s="4">
        <v>14224</v>
      </c>
      <c r="B160" s="5" t="s">
        <v>214</v>
      </c>
      <c r="C160" s="5" t="s">
        <v>111</v>
      </c>
      <c r="D160" s="5" t="s">
        <v>1032</v>
      </c>
      <c r="E160" s="5" t="s">
        <v>1035</v>
      </c>
      <c r="F160" s="5" t="s">
        <v>1012</v>
      </c>
      <c r="G160" s="3" t="s">
        <v>1017</v>
      </c>
      <c r="H160" s="5" t="s">
        <v>352</v>
      </c>
      <c r="I160" s="5" t="s">
        <v>1023</v>
      </c>
      <c r="J160" s="4">
        <v>5033</v>
      </c>
      <c r="K160" s="1">
        <v>43985</v>
      </c>
      <c r="L160" s="1">
        <v>43990</v>
      </c>
      <c r="M160" s="4">
        <v>3</v>
      </c>
      <c r="N160" s="7" cm="1">
        <f t="array" ref="N160">_xlfn.IFS(I160="Dell Inspiron 15",66989,I160="Lenovo IdeaPad Slim 3i",34690,I160="Mi NoteBook Ultra",57999,I160="Samsung Galaxy Go",36990,I160="Acer Aspire 3",38980)</f>
        <v>66989</v>
      </c>
      <c r="O160" s="5" t="s">
        <v>1030</v>
      </c>
    </row>
    <row r="161" spans="1:15" x14ac:dyDescent="0.35">
      <c r="A161" s="4">
        <v>14188</v>
      </c>
      <c r="B161" s="5" t="s">
        <v>57</v>
      </c>
      <c r="C161" s="5" t="s">
        <v>86</v>
      </c>
      <c r="D161" s="5" t="s">
        <v>1032</v>
      </c>
      <c r="E161" s="5" t="s">
        <v>1035</v>
      </c>
      <c r="F161" s="5" t="s">
        <v>1012</v>
      </c>
      <c r="G161" s="3" t="s">
        <v>1017</v>
      </c>
      <c r="H161" s="5" t="s">
        <v>353</v>
      </c>
      <c r="I161" s="5" t="s">
        <v>1025</v>
      </c>
      <c r="J161" s="4">
        <v>4755</v>
      </c>
      <c r="K161" s="1">
        <v>43912</v>
      </c>
      <c r="L161" s="1">
        <v>43913</v>
      </c>
      <c r="M161" s="4">
        <v>4</v>
      </c>
      <c r="N161" s="7" cm="1">
        <f t="array" ref="N161">_xlfn.IFS(I161="Dell Inspiron 15",66989,I161="Lenovo IdeaPad Slim 3i",34690,I161="Mi NoteBook Ultra",57999,I161="Samsung Galaxy Go",36990,I161="Acer Aspire 3",38980)</f>
        <v>57999</v>
      </c>
      <c r="O161" s="5" t="s">
        <v>1030</v>
      </c>
    </row>
    <row r="162" spans="1:15" x14ac:dyDescent="0.35">
      <c r="A162" s="4">
        <v>22782</v>
      </c>
      <c r="B162" s="5" t="s">
        <v>354</v>
      </c>
      <c r="C162" s="5" t="s">
        <v>355</v>
      </c>
      <c r="D162" s="5" t="s">
        <v>1032</v>
      </c>
      <c r="E162" s="5" t="s">
        <v>1036</v>
      </c>
      <c r="F162" s="5" t="s">
        <v>1013</v>
      </c>
      <c r="G162" s="3" t="s">
        <v>1018</v>
      </c>
      <c r="H162" s="5" t="s">
        <v>356</v>
      </c>
      <c r="I162" s="5" t="s">
        <v>1027</v>
      </c>
      <c r="J162" s="4">
        <v>5417</v>
      </c>
      <c r="K162" s="1">
        <v>43912</v>
      </c>
      <c r="L162" s="1">
        <v>43915</v>
      </c>
      <c r="M162" s="4">
        <v>10</v>
      </c>
      <c r="N162" s="7" cm="1">
        <f t="array" ref="N162">_xlfn.IFS(I162="Dell Inspiron 15",66989,I162="Lenovo IdeaPad Slim 3i",34690,I162="Mi NoteBook Ultra",57999,I162="Samsung Galaxy Go",36990,I162="Acer Aspire 3",38980)</f>
        <v>38980</v>
      </c>
      <c r="O162" s="5" t="s">
        <v>1030</v>
      </c>
    </row>
    <row r="163" spans="1:15" x14ac:dyDescent="0.35">
      <c r="A163" s="4">
        <v>25583</v>
      </c>
      <c r="B163" s="5" t="s">
        <v>203</v>
      </c>
      <c r="C163" s="5" t="s">
        <v>119</v>
      </c>
      <c r="D163" s="5" t="s">
        <v>1032</v>
      </c>
      <c r="E163" s="5" t="s">
        <v>1036</v>
      </c>
      <c r="F163" s="5" t="s">
        <v>1013</v>
      </c>
      <c r="G163" s="3" t="s">
        <v>1018</v>
      </c>
      <c r="H163" s="5" t="s">
        <v>357</v>
      </c>
      <c r="I163" s="5" t="s">
        <v>1023</v>
      </c>
      <c r="J163" s="4">
        <v>5501</v>
      </c>
      <c r="K163" s="1">
        <v>43968</v>
      </c>
      <c r="L163" s="1">
        <v>43969</v>
      </c>
      <c r="M163" s="4">
        <v>9</v>
      </c>
      <c r="N163" s="7" cm="1">
        <f t="array" ref="N163">_xlfn.IFS(I163="Dell Inspiron 15",66989,I163="Lenovo IdeaPad Slim 3i",34690,I163="Mi NoteBook Ultra",57999,I163="Samsung Galaxy Go",36990,I163="Acer Aspire 3",38980)</f>
        <v>66989</v>
      </c>
      <c r="O163" s="5" t="s">
        <v>1030</v>
      </c>
    </row>
    <row r="164" spans="1:15" x14ac:dyDescent="0.35">
      <c r="A164" s="4">
        <v>22830</v>
      </c>
      <c r="B164" s="5" t="s">
        <v>186</v>
      </c>
      <c r="C164" s="5" t="s">
        <v>75</v>
      </c>
      <c r="D164" s="5" t="s">
        <v>1032</v>
      </c>
      <c r="E164" s="5" t="s">
        <v>1033</v>
      </c>
      <c r="F164" s="5" t="s">
        <v>1010</v>
      </c>
      <c r="G164" s="3" t="s">
        <v>1015</v>
      </c>
      <c r="H164" s="5" t="s">
        <v>358</v>
      </c>
      <c r="I164" s="5" t="s">
        <v>1024</v>
      </c>
      <c r="J164" s="4">
        <v>4747</v>
      </c>
      <c r="K164" s="1">
        <v>43879</v>
      </c>
      <c r="L164" s="1">
        <v>43881</v>
      </c>
      <c r="M164" s="4">
        <v>9</v>
      </c>
      <c r="N164" s="7" cm="1">
        <f t="array" ref="N164">_xlfn.IFS(I164="Dell Inspiron 15",66989,I164="Lenovo IdeaPad Slim 3i",34690,I164="Mi NoteBook Ultra",57999,I164="Samsung Galaxy Go",36990,I164="Acer Aspire 3",38980)</f>
        <v>34690</v>
      </c>
      <c r="O164" s="5" t="s">
        <v>1030</v>
      </c>
    </row>
    <row r="165" spans="1:15" x14ac:dyDescent="0.35">
      <c r="A165" s="4">
        <v>17890</v>
      </c>
      <c r="B165" s="5" t="s">
        <v>359</v>
      </c>
      <c r="C165" s="5" t="s">
        <v>360</v>
      </c>
      <c r="D165" s="5" t="s">
        <v>1032</v>
      </c>
      <c r="E165" s="5" t="s">
        <v>1034</v>
      </c>
      <c r="F165" s="5" t="s">
        <v>1011</v>
      </c>
      <c r="G165" s="3" t="s">
        <v>1016</v>
      </c>
      <c r="H165" s="5" t="s">
        <v>361</v>
      </c>
      <c r="I165" s="5" t="s">
        <v>1026</v>
      </c>
      <c r="J165" s="4">
        <v>4671</v>
      </c>
      <c r="K165" s="1">
        <v>43894</v>
      </c>
      <c r="L165" s="1">
        <v>43896</v>
      </c>
      <c r="M165" s="4">
        <v>7</v>
      </c>
      <c r="N165" s="7" cm="1">
        <f t="array" ref="N165">_xlfn.IFS(I165="Dell Inspiron 15",66989,I165="Lenovo IdeaPad Slim 3i",34690,I165="Mi NoteBook Ultra",57999,I165="Samsung Galaxy Go",36990,I165="Acer Aspire 3",38980)</f>
        <v>36990</v>
      </c>
      <c r="O165" s="5" t="s">
        <v>1030</v>
      </c>
    </row>
    <row r="166" spans="1:15" x14ac:dyDescent="0.35">
      <c r="A166" s="4">
        <v>17229</v>
      </c>
      <c r="B166" s="5" t="s">
        <v>362</v>
      </c>
      <c r="C166" s="5" t="s">
        <v>269</v>
      </c>
      <c r="D166" s="5" t="s">
        <v>1032</v>
      </c>
      <c r="E166" s="5" t="s">
        <v>1033</v>
      </c>
      <c r="F166" s="5" t="s">
        <v>1010</v>
      </c>
      <c r="G166" s="3" t="s">
        <v>1015</v>
      </c>
      <c r="H166" s="5" t="s">
        <v>363</v>
      </c>
      <c r="I166" s="5" t="s">
        <v>1023</v>
      </c>
      <c r="J166" s="4">
        <v>5194</v>
      </c>
      <c r="K166" s="1">
        <v>43968</v>
      </c>
      <c r="L166" s="1">
        <v>43970</v>
      </c>
      <c r="M166" s="4">
        <v>2</v>
      </c>
      <c r="N166" s="7" cm="1">
        <f t="array" ref="N166">_xlfn.IFS(I166="Dell Inspiron 15",66989,I166="Lenovo IdeaPad Slim 3i",34690,I166="Mi NoteBook Ultra",57999,I166="Samsung Galaxy Go",36990,I166="Acer Aspire 3",38980)</f>
        <v>66989</v>
      </c>
      <c r="O166" s="5" t="s">
        <v>1030</v>
      </c>
    </row>
    <row r="167" spans="1:15" x14ac:dyDescent="0.35">
      <c r="A167" s="4">
        <v>13710</v>
      </c>
      <c r="B167" s="5" t="s">
        <v>60</v>
      </c>
      <c r="C167" s="5" t="s">
        <v>171</v>
      </c>
      <c r="D167" s="5" t="s">
        <v>1032</v>
      </c>
      <c r="E167" s="5" t="s">
        <v>1035</v>
      </c>
      <c r="F167" s="5" t="s">
        <v>1012</v>
      </c>
      <c r="G167" s="3" t="s">
        <v>1017</v>
      </c>
      <c r="H167" s="5" t="s">
        <v>364</v>
      </c>
      <c r="I167" s="5" t="s">
        <v>1027</v>
      </c>
      <c r="J167" s="4">
        <v>5162</v>
      </c>
      <c r="K167" s="1">
        <v>43968</v>
      </c>
      <c r="L167" s="1">
        <v>43969</v>
      </c>
      <c r="M167" s="4">
        <v>5</v>
      </c>
      <c r="N167" s="7" cm="1">
        <f t="array" ref="N167">_xlfn.IFS(I167="Dell Inspiron 15",66989,I167="Lenovo IdeaPad Slim 3i",34690,I167="Mi NoteBook Ultra",57999,I167="Samsung Galaxy Go",36990,I167="Acer Aspire 3",38980)</f>
        <v>38980</v>
      </c>
      <c r="O167" s="5" t="s">
        <v>1030</v>
      </c>
    </row>
    <row r="168" spans="1:15" x14ac:dyDescent="0.35">
      <c r="A168" s="4">
        <v>17186</v>
      </c>
      <c r="B168" s="5" t="s">
        <v>365</v>
      </c>
      <c r="C168" s="5" t="s">
        <v>366</v>
      </c>
      <c r="D168" s="5" t="s">
        <v>1032</v>
      </c>
      <c r="E168" s="5" t="s">
        <v>1035</v>
      </c>
      <c r="F168" s="5" t="s">
        <v>1012</v>
      </c>
      <c r="G168" s="3" t="s">
        <v>1017</v>
      </c>
      <c r="H168" s="5" t="s">
        <v>367</v>
      </c>
      <c r="I168" s="5" t="s">
        <v>1025</v>
      </c>
      <c r="J168" s="4">
        <v>5507</v>
      </c>
      <c r="K168" s="1">
        <v>43989</v>
      </c>
      <c r="L168" s="1">
        <v>43991</v>
      </c>
      <c r="M168" s="4">
        <v>9</v>
      </c>
      <c r="N168" s="7" cm="1">
        <f t="array" ref="N168">_xlfn.IFS(I168="Dell Inspiron 15",66989,I168="Lenovo IdeaPad Slim 3i",34690,I168="Mi NoteBook Ultra",57999,I168="Samsung Galaxy Go",36990,I168="Acer Aspire 3",38980)</f>
        <v>57999</v>
      </c>
      <c r="O168" s="5" t="s">
        <v>1030</v>
      </c>
    </row>
    <row r="169" spans="1:15" x14ac:dyDescent="0.35">
      <c r="A169" s="4">
        <v>19451</v>
      </c>
      <c r="B169" s="5" t="s">
        <v>57</v>
      </c>
      <c r="C169" s="5" t="s">
        <v>18</v>
      </c>
      <c r="D169" s="5" t="s">
        <v>1032</v>
      </c>
      <c r="E169" s="5" t="s">
        <v>1036</v>
      </c>
      <c r="F169" s="5" t="s">
        <v>1013</v>
      </c>
      <c r="G169" s="3" t="s">
        <v>1018</v>
      </c>
      <c r="H169" s="5" t="s">
        <v>368</v>
      </c>
      <c r="I169" s="5" t="s">
        <v>1026</v>
      </c>
      <c r="J169" s="4">
        <v>4870</v>
      </c>
      <c r="K169" s="1">
        <v>43954</v>
      </c>
      <c r="L169" s="1">
        <v>43956</v>
      </c>
      <c r="M169" s="4">
        <v>6</v>
      </c>
      <c r="N169" s="7" cm="1">
        <f t="array" ref="N169">_xlfn.IFS(I169="Dell Inspiron 15",66989,I169="Lenovo IdeaPad Slim 3i",34690,I169="Mi NoteBook Ultra",57999,I169="Samsung Galaxy Go",36990,I169="Acer Aspire 3",38980)</f>
        <v>36990</v>
      </c>
      <c r="O169" s="5" t="s">
        <v>1030</v>
      </c>
    </row>
    <row r="170" spans="1:15" x14ac:dyDescent="0.35">
      <c r="A170" s="4">
        <v>12912</v>
      </c>
      <c r="B170" s="5" t="s">
        <v>288</v>
      </c>
      <c r="C170" s="5" t="s">
        <v>369</v>
      </c>
      <c r="D170" s="5" t="s">
        <v>1032</v>
      </c>
      <c r="E170" s="5" t="s">
        <v>1033</v>
      </c>
      <c r="F170" s="5" t="s">
        <v>1010</v>
      </c>
      <c r="G170" s="3" t="s">
        <v>1015</v>
      </c>
      <c r="H170" s="5" t="s">
        <v>370</v>
      </c>
      <c r="I170" s="5" t="s">
        <v>1027</v>
      </c>
      <c r="J170" s="4">
        <v>5037</v>
      </c>
      <c r="K170" s="1">
        <v>43954</v>
      </c>
      <c r="L170" s="1">
        <v>43956</v>
      </c>
      <c r="M170" s="4">
        <v>2</v>
      </c>
      <c r="N170" s="7" cm="1">
        <f t="array" ref="N170">_xlfn.IFS(I170="Dell Inspiron 15",66989,I170="Lenovo IdeaPad Slim 3i",34690,I170="Mi NoteBook Ultra",57999,I170="Samsung Galaxy Go",36990,I170="Acer Aspire 3",38980)</f>
        <v>38980</v>
      </c>
      <c r="O170" s="5" t="s">
        <v>1030</v>
      </c>
    </row>
    <row r="171" spans="1:15" x14ac:dyDescent="0.35">
      <c r="A171" s="4">
        <v>13907</v>
      </c>
      <c r="B171" s="5" t="s">
        <v>371</v>
      </c>
      <c r="C171" s="5" t="s">
        <v>24</v>
      </c>
      <c r="D171" s="5" t="s">
        <v>1032</v>
      </c>
      <c r="E171" s="5" t="s">
        <v>1034</v>
      </c>
      <c r="F171" s="5" t="s">
        <v>1011</v>
      </c>
      <c r="G171" s="3" t="s">
        <v>1016</v>
      </c>
      <c r="H171" s="5" t="s">
        <v>372</v>
      </c>
      <c r="I171" s="5" t="s">
        <v>1023</v>
      </c>
      <c r="J171" s="4">
        <v>4852</v>
      </c>
      <c r="K171" s="1">
        <v>43954</v>
      </c>
      <c r="L171" s="1">
        <v>43956</v>
      </c>
      <c r="M171" s="4">
        <v>7</v>
      </c>
      <c r="N171" s="7" cm="1">
        <f t="array" ref="N171">_xlfn.IFS(I171="Dell Inspiron 15",66989,I171="Lenovo IdeaPad Slim 3i",34690,I171="Mi NoteBook Ultra",57999,I171="Samsung Galaxy Go",36990,I171="Acer Aspire 3",38980)</f>
        <v>66989</v>
      </c>
      <c r="O171" s="5" t="s">
        <v>1030</v>
      </c>
    </row>
    <row r="172" spans="1:15" x14ac:dyDescent="0.35">
      <c r="A172" s="4">
        <v>14805</v>
      </c>
      <c r="B172" s="5" t="s">
        <v>373</v>
      </c>
      <c r="C172" s="5" t="s">
        <v>106</v>
      </c>
      <c r="D172" s="5" t="s">
        <v>1032</v>
      </c>
      <c r="E172" s="5" t="s">
        <v>1033</v>
      </c>
      <c r="F172" s="5" t="s">
        <v>1010</v>
      </c>
      <c r="G172" s="3" t="s">
        <v>1015</v>
      </c>
      <c r="H172" s="5" t="s">
        <v>374</v>
      </c>
      <c r="I172" s="5" t="s">
        <v>1025</v>
      </c>
      <c r="J172" s="4">
        <v>4596</v>
      </c>
      <c r="K172" s="1">
        <v>43954</v>
      </c>
      <c r="L172" s="1">
        <v>43955</v>
      </c>
      <c r="M172" s="4">
        <v>5</v>
      </c>
      <c r="N172" s="7" cm="1">
        <f t="array" ref="N172">_xlfn.IFS(I172="Dell Inspiron 15",66989,I172="Lenovo IdeaPad Slim 3i",34690,I172="Mi NoteBook Ultra",57999,I172="Samsung Galaxy Go",36990,I172="Acer Aspire 3",38980)</f>
        <v>57999</v>
      </c>
      <c r="O172" s="5" t="s">
        <v>1030</v>
      </c>
    </row>
    <row r="173" spans="1:15" x14ac:dyDescent="0.35">
      <c r="A173" s="4">
        <v>19945</v>
      </c>
      <c r="B173" s="5" t="s">
        <v>26</v>
      </c>
      <c r="C173" s="5" t="s">
        <v>375</v>
      </c>
      <c r="D173" s="5" t="s">
        <v>1032</v>
      </c>
      <c r="E173" s="5" t="s">
        <v>1035</v>
      </c>
      <c r="F173" s="5" t="s">
        <v>1012</v>
      </c>
      <c r="G173" s="3" t="s">
        <v>1017</v>
      </c>
      <c r="H173" s="5" t="s">
        <v>376</v>
      </c>
      <c r="I173" s="5" t="s">
        <v>1027</v>
      </c>
      <c r="J173" s="4">
        <v>5394</v>
      </c>
      <c r="K173" s="1">
        <v>44004</v>
      </c>
      <c r="L173" s="1">
        <v>44006</v>
      </c>
      <c r="M173" s="4">
        <v>9</v>
      </c>
      <c r="N173" s="7" cm="1">
        <f t="array" ref="N173">_xlfn.IFS(I173="Dell Inspiron 15",66989,I173="Lenovo IdeaPad Slim 3i",34690,I173="Mi NoteBook Ultra",57999,I173="Samsung Galaxy Go",36990,I173="Acer Aspire 3",38980)</f>
        <v>38980</v>
      </c>
      <c r="O173" s="5" t="s">
        <v>1030</v>
      </c>
    </row>
    <row r="174" spans="1:15" x14ac:dyDescent="0.35">
      <c r="A174" s="4">
        <v>18538</v>
      </c>
      <c r="B174" s="5" t="s">
        <v>377</v>
      </c>
      <c r="C174" s="5" t="s">
        <v>99</v>
      </c>
      <c r="D174" s="5" t="s">
        <v>1032</v>
      </c>
      <c r="E174" s="5" t="s">
        <v>1035</v>
      </c>
      <c r="F174" s="5" t="s">
        <v>1012</v>
      </c>
      <c r="G174" s="3" t="s">
        <v>1017</v>
      </c>
      <c r="H174" s="5" t="s">
        <v>378</v>
      </c>
      <c r="I174" s="5" t="s">
        <v>1023</v>
      </c>
      <c r="J174" s="4">
        <v>4862</v>
      </c>
      <c r="K174" s="1">
        <v>43927</v>
      </c>
      <c r="L174" s="1">
        <v>43928</v>
      </c>
      <c r="M174" s="4">
        <v>3</v>
      </c>
      <c r="N174" s="7" cm="1">
        <f t="array" ref="N174">_xlfn.IFS(I174="Dell Inspiron 15",66989,I174="Lenovo IdeaPad Slim 3i",34690,I174="Mi NoteBook Ultra",57999,I174="Samsung Galaxy Go",36990,I174="Acer Aspire 3",38980)</f>
        <v>66989</v>
      </c>
      <c r="O174" s="5" t="s">
        <v>1030</v>
      </c>
    </row>
    <row r="175" spans="1:15" x14ac:dyDescent="0.35">
      <c r="A175" s="4">
        <v>17349</v>
      </c>
      <c r="B175" s="5" t="s">
        <v>217</v>
      </c>
      <c r="C175" s="5" t="s">
        <v>379</v>
      </c>
      <c r="D175" s="5" t="s">
        <v>1032</v>
      </c>
      <c r="E175" s="5" t="s">
        <v>1036</v>
      </c>
      <c r="F175" s="5" t="s">
        <v>1013</v>
      </c>
      <c r="G175" s="3" t="s">
        <v>1018</v>
      </c>
      <c r="H175" s="5" t="s">
        <v>380</v>
      </c>
      <c r="I175" s="5" t="s">
        <v>1024</v>
      </c>
      <c r="J175" s="4">
        <v>5480</v>
      </c>
      <c r="K175" s="1">
        <v>44004</v>
      </c>
      <c r="L175" s="1">
        <v>44006</v>
      </c>
      <c r="M175" s="4">
        <v>4</v>
      </c>
      <c r="N175" s="7" cm="1">
        <f t="array" ref="N175">_xlfn.IFS(I175="Dell Inspiron 15",66989,I175="Lenovo IdeaPad Slim 3i",34690,I175="Mi NoteBook Ultra",57999,I175="Samsung Galaxy Go",36990,I175="Acer Aspire 3",38980)</f>
        <v>34690</v>
      </c>
      <c r="O175" s="5" t="s">
        <v>1030</v>
      </c>
    </row>
    <row r="176" spans="1:15" x14ac:dyDescent="0.35">
      <c r="A176" s="4">
        <v>21072</v>
      </c>
      <c r="B176" s="5" t="s">
        <v>139</v>
      </c>
      <c r="C176" s="5" t="s">
        <v>78</v>
      </c>
      <c r="D176" s="5" t="s">
        <v>1032</v>
      </c>
      <c r="E176" s="5" t="s">
        <v>1033</v>
      </c>
      <c r="F176" s="5" t="s">
        <v>1010</v>
      </c>
      <c r="G176" s="3" t="s">
        <v>1015</v>
      </c>
      <c r="H176" s="5" t="s">
        <v>381</v>
      </c>
      <c r="I176" s="5" t="s">
        <v>1025</v>
      </c>
      <c r="J176" s="4">
        <v>4984</v>
      </c>
      <c r="K176" s="1">
        <v>44004</v>
      </c>
      <c r="L176" s="1">
        <v>44005</v>
      </c>
      <c r="M176" s="4">
        <v>6</v>
      </c>
      <c r="N176" s="7" cm="1">
        <f t="array" ref="N176">_xlfn.IFS(I176="Dell Inspiron 15",66989,I176="Lenovo IdeaPad Slim 3i",34690,I176="Mi NoteBook Ultra",57999,I176="Samsung Galaxy Go",36990,I176="Acer Aspire 3",38980)</f>
        <v>57999</v>
      </c>
      <c r="O176" s="5" t="s">
        <v>1030</v>
      </c>
    </row>
    <row r="177" spans="1:15" x14ac:dyDescent="0.35">
      <c r="A177" s="4">
        <v>21096</v>
      </c>
      <c r="B177" s="5" t="s">
        <v>334</v>
      </c>
      <c r="C177" s="5" t="s">
        <v>267</v>
      </c>
      <c r="D177" s="5" t="s">
        <v>1032</v>
      </c>
      <c r="E177" s="5" t="s">
        <v>1036</v>
      </c>
      <c r="F177" s="5" t="s">
        <v>1013</v>
      </c>
      <c r="G177" s="3" t="s">
        <v>1018</v>
      </c>
      <c r="H177" s="5" t="s">
        <v>382</v>
      </c>
      <c r="I177" s="5" t="s">
        <v>1026</v>
      </c>
      <c r="J177" s="4">
        <v>4793</v>
      </c>
      <c r="K177" s="1">
        <v>43927</v>
      </c>
      <c r="L177" s="1">
        <v>43928</v>
      </c>
      <c r="M177" s="4">
        <v>6</v>
      </c>
      <c r="N177" s="7" cm="1">
        <f t="array" ref="N177">_xlfn.IFS(I177="Dell Inspiron 15",66989,I177="Lenovo IdeaPad Slim 3i",34690,I177="Mi NoteBook Ultra",57999,I177="Samsung Galaxy Go",36990,I177="Acer Aspire 3",38980)</f>
        <v>36990</v>
      </c>
      <c r="O177" s="5" t="s">
        <v>1030</v>
      </c>
    </row>
    <row r="178" spans="1:15" x14ac:dyDescent="0.35">
      <c r="A178" s="4">
        <v>13221</v>
      </c>
      <c r="B178" s="5" t="s">
        <v>383</v>
      </c>
      <c r="C178" s="5" t="s">
        <v>221</v>
      </c>
      <c r="D178" s="5" t="s">
        <v>1032</v>
      </c>
      <c r="E178" s="5" t="s">
        <v>1033</v>
      </c>
      <c r="F178" s="5" t="s">
        <v>1010</v>
      </c>
      <c r="G178" s="3" t="s">
        <v>1015</v>
      </c>
      <c r="H178" s="5" t="s">
        <v>384</v>
      </c>
      <c r="I178" s="5" t="s">
        <v>1027</v>
      </c>
      <c r="J178" s="4">
        <v>4840</v>
      </c>
      <c r="K178" s="1">
        <v>44004</v>
      </c>
      <c r="L178" s="1">
        <v>44005</v>
      </c>
      <c r="M178" s="4">
        <v>2</v>
      </c>
      <c r="N178" s="7" cm="1">
        <f t="array" ref="N178">_xlfn.IFS(I178="Dell Inspiron 15",66989,I178="Lenovo IdeaPad Slim 3i",34690,I178="Mi NoteBook Ultra",57999,I178="Samsung Galaxy Go",36990,I178="Acer Aspire 3",38980)</f>
        <v>38980</v>
      </c>
      <c r="O178" s="5" t="s">
        <v>1030</v>
      </c>
    </row>
    <row r="179" spans="1:15" x14ac:dyDescent="0.35">
      <c r="A179" s="4">
        <v>13024</v>
      </c>
      <c r="B179" s="5" t="s">
        <v>62</v>
      </c>
      <c r="C179" s="5" t="s">
        <v>385</v>
      </c>
      <c r="D179" s="5" t="s">
        <v>1032</v>
      </c>
      <c r="E179" s="5" t="s">
        <v>1034</v>
      </c>
      <c r="F179" s="5" t="s">
        <v>1011</v>
      </c>
      <c r="G179" s="3" t="s">
        <v>1016</v>
      </c>
      <c r="H179" s="5" t="s">
        <v>386</v>
      </c>
      <c r="I179" s="5" t="s">
        <v>1023</v>
      </c>
      <c r="J179" s="4">
        <v>4777</v>
      </c>
      <c r="K179" s="1">
        <v>43833</v>
      </c>
      <c r="L179" s="1">
        <v>43834</v>
      </c>
      <c r="M179" s="4">
        <v>2</v>
      </c>
      <c r="N179" s="7" cm="1">
        <f t="array" ref="N179">_xlfn.IFS(I179="Dell Inspiron 15",66989,I179="Lenovo IdeaPad Slim 3i",34690,I179="Mi NoteBook Ultra",57999,I179="Samsung Galaxy Go",36990,I179="Acer Aspire 3",38980)</f>
        <v>66989</v>
      </c>
      <c r="O179" s="5" t="s">
        <v>1030</v>
      </c>
    </row>
    <row r="180" spans="1:15" x14ac:dyDescent="0.35">
      <c r="A180" s="4">
        <v>18313</v>
      </c>
      <c r="B180" s="5" t="s">
        <v>387</v>
      </c>
      <c r="C180" s="5" t="s">
        <v>39</v>
      </c>
      <c r="D180" s="5" t="s">
        <v>1032</v>
      </c>
      <c r="E180" s="5" t="s">
        <v>1033</v>
      </c>
      <c r="F180" s="5" t="s">
        <v>1010</v>
      </c>
      <c r="G180" s="3" t="s">
        <v>1015</v>
      </c>
      <c r="H180" s="5" t="s">
        <v>388</v>
      </c>
      <c r="I180" s="5" t="s">
        <v>1025</v>
      </c>
      <c r="J180" s="4">
        <v>5118</v>
      </c>
      <c r="K180" s="1">
        <v>43925</v>
      </c>
      <c r="L180" s="1">
        <v>43927</v>
      </c>
      <c r="M180" s="4">
        <v>6</v>
      </c>
      <c r="N180" s="7" cm="1">
        <f t="array" ref="N180">_xlfn.IFS(I180="Dell Inspiron 15",66989,I180="Lenovo IdeaPad Slim 3i",34690,I180="Mi NoteBook Ultra",57999,I180="Samsung Galaxy Go",36990,I180="Acer Aspire 3",38980)</f>
        <v>57999</v>
      </c>
      <c r="O180" s="5" t="s">
        <v>1030</v>
      </c>
    </row>
    <row r="181" spans="1:15" x14ac:dyDescent="0.35">
      <c r="A181" s="4">
        <v>18155</v>
      </c>
      <c r="B181" s="5" t="s">
        <v>55</v>
      </c>
      <c r="C181" s="5" t="s">
        <v>39</v>
      </c>
      <c r="D181" s="5" t="s">
        <v>1032</v>
      </c>
      <c r="E181" s="5" t="s">
        <v>1035</v>
      </c>
      <c r="F181" s="5" t="s">
        <v>1012</v>
      </c>
      <c r="G181" s="3" t="s">
        <v>1017</v>
      </c>
      <c r="H181" s="5" t="s">
        <v>389</v>
      </c>
      <c r="I181" s="5" t="s">
        <v>1026</v>
      </c>
      <c r="J181" s="4">
        <v>5469</v>
      </c>
      <c r="K181" s="1">
        <v>43925</v>
      </c>
      <c r="L181" s="1">
        <v>43927</v>
      </c>
      <c r="M181" s="4">
        <v>3</v>
      </c>
      <c r="N181" s="7" cm="1">
        <f t="array" ref="N181">_xlfn.IFS(I181="Dell Inspiron 15",66989,I181="Lenovo IdeaPad Slim 3i",34690,I181="Mi NoteBook Ultra",57999,I181="Samsung Galaxy Go",36990,I181="Acer Aspire 3",38980)</f>
        <v>36990</v>
      </c>
      <c r="O181" s="5" t="s">
        <v>1030</v>
      </c>
    </row>
    <row r="182" spans="1:15" x14ac:dyDescent="0.35">
      <c r="A182" s="4">
        <v>15218</v>
      </c>
      <c r="B182" s="5" t="s">
        <v>390</v>
      </c>
      <c r="C182" s="5" t="s">
        <v>162</v>
      </c>
      <c r="D182" s="5" t="s">
        <v>1032</v>
      </c>
      <c r="E182" s="5" t="s">
        <v>1033</v>
      </c>
      <c r="F182" s="5" t="s">
        <v>1010</v>
      </c>
      <c r="G182" s="3" t="s">
        <v>1015</v>
      </c>
      <c r="H182" s="5" t="s">
        <v>391</v>
      </c>
      <c r="I182" s="5" t="s">
        <v>1027</v>
      </c>
      <c r="J182" s="4">
        <v>5228</v>
      </c>
      <c r="K182" s="1">
        <v>43930</v>
      </c>
      <c r="L182" s="1">
        <v>43932</v>
      </c>
      <c r="M182" s="4">
        <v>10</v>
      </c>
      <c r="N182" s="7" cm="1">
        <f t="array" ref="N182">_xlfn.IFS(I182="Dell Inspiron 15",66989,I182="Lenovo IdeaPad Slim 3i",34690,I182="Mi NoteBook Ultra",57999,I182="Samsung Galaxy Go",36990,I182="Acer Aspire 3",38980)</f>
        <v>38980</v>
      </c>
      <c r="O182" s="5" t="s">
        <v>1030</v>
      </c>
    </row>
    <row r="183" spans="1:15" x14ac:dyDescent="0.35">
      <c r="A183" s="4">
        <v>25643</v>
      </c>
      <c r="B183" s="5" t="s">
        <v>392</v>
      </c>
      <c r="C183" s="5" t="s">
        <v>162</v>
      </c>
      <c r="D183" s="5" t="s">
        <v>1032</v>
      </c>
      <c r="E183" s="5" t="s">
        <v>1034</v>
      </c>
      <c r="F183" s="5" t="s">
        <v>1011</v>
      </c>
      <c r="G183" s="3" t="s">
        <v>1016</v>
      </c>
      <c r="H183" s="5" t="s">
        <v>393</v>
      </c>
      <c r="I183" s="5" t="s">
        <v>1023</v>
      </c>
      <c r="J183" s="4">
        <v>5251</v>
      </c>
      <c r="K183" s="1">
        <v>43833</v>
      </c>
      <c r="L183" s="1">
        <v>43834</v>
      </c>
      <c r="M183" s="4">
        <v>5</v>
      </c>
      <c r="N183" s="7" cm="1">
        <f t="array" ref="N183">_xlfn.IFS(I183="Dell Inspiron 15",66989,I183="Lenovo IdeaPad Slim 3i",34690,I183="Mi NoteBook Ultra",57999,I183="Samsung Galaxy Go",36990,I183="Acer Aspire 3",38980)</f>
        <v>66989</v>
      </c>
      <c r="O183" s="5" t="s">
        <v>1030</v>
      </c>
    </row>
    <row r="184" spans="1:15" x14ac:dyDescent="0.35">
      <c r="A184" s="4">
        <v>19349</v>
      </c>
      <c r="B184" s="5" t="s">
        <v>41</v>
      </c>
      <c r="C184" s="5" t="s">
        <v>394</v>
      </c>
      <c r="D184" s="5" t="s">
        <v>1032</v>
      </c>
      <c r="E184" s="5" t="s">
        <v>1033</v>
      </c>
      <c r="F184" s="5" t="s">
        <v>1010</v>
      </c>
      <c r="G184" s="3" t="s">
        <v>1015</v>
      </c>
      <c r="H184" s="5" t="s">
        <v>395</v>
      </c>
      <c r="I184" s="5" t="s">
        <v>1025</v>
      </c>
      <c r="J184" s="4">
        <v>5023</v>
      </c>
      <c r="K184" s="1">
        <v>43925</v>
      </c>
      <c r="L184" s="1">
        <v>43927</v>
      </c>
      <c r="M184" s="4">
        <v>1</v>
      </c>
      <c r="N184" s="7" cm="1">
        <f t="array" ref="N184">_xlfn.IFS(I184="Dell Inspiron 15",66989,I184="Lenovo IdeaPad Slim 3i",34690,I184="Mi NoteBook Ultra",57999,I184="Samsung Galaxy Go",36990,I184="Acer Aspire 3",38980)</f>
        <v>57999</v>
      </c>
      <c r="O184" s="5" t="s">
        <v>1030</v>
      </c>
    </row>
    <row r="185" spans="1:15" x14ac:dyDescent="0.35">
      <c r="A185" s="4">
        <v>22349</v>
      </c>
      <c r="B185" s="5" t="s">
        <v>314</v>
      </c>
      <c r="C185" s="5" t="s">
        <v>396</v>
      </c>
      <c r="D185" s="5" t="s">
        <v>1032</v>
      </c>
      <c r="E185" s="5" t="s">
        <v>1035</v>
      </c>
      <c r="F185" s="5" t="s">
        <v>1012</v>
      </c>
      <c r="G185" s="3" t="s">
        <v>1017</v>
      </c>
      <c r="H185" s="5" t="s">
        <v>397</v>
      </c>
      <c r="I185" s="5" t="s">
        <v>1027</v>
      </c>
      <c r="J185" s="4">
        <v>4779</v>
      </c>
      <c r="K185" s="1">
        <v>43963</v>
      </c>
      <c r="L185" s="1">
        <v>43965</v>
      </c>
      <c r="M185" s="4">
        <v>7</v>
      </c>
      <c r="N185" s="7" cm="1">
        <f t="array" ref="N185">_xlfn.IFS(I185="Dell Inspiron 15",66989,I185="Lenovo IdeaPad Slim 3i",34690,I185="Mi NoteBook Ultra",57999,I185="Samsung Galaxy Go",36990,I185="Acer Aspire 3",38980)</f>
        <v>38980</v>
      </c>
      <c r="O185" s="5" t="s">
        <v>1030</v>
      </c>
    </row>
    <row r="186" spans="1:15" x14ac:dyDescent="0.35">
      <c r="A186" s="4">
        <v>21071</v>
      </c>
      <c r="B186" s="5" t="s">
        <v>387</v>
      </c>
      <c r="C186" s="5" t="s">
        <v>189</v>
      </c>
      <c r="D186" s="5" t="s">
        <v>1032</v>
      </c>
      <c r="E186" s="5" t="s">
        <v>1035</v>
      </c>
      <c r="F186" s="5" t="s">
        <v>1012</v>
      </c>
      <c r="G186" s="3" t="s">
        <v>1017</v>
      </c>
      <c r="H186" s="5" t="s">
        <v>398</v>
      </c>
      <c r="I186" s="5" t="s">
        <v>1023</v>
      </c>
      <c r="J186" s="4">
        <v>5171</v>
      </c>
      <c r="K186" s="1">
        <v>43963</v>
      </c>
      <c r="L186" s="1">
        <v>43964</v>
      </c>
      <c r="M186" s="4">
        <v>6</v>
      </c>
      <c r="N186" s="7" cm="1">
        <f t="array" ref="N186">_xlfn.IFS(I186="Dell Inspiron 15",66989,I186="Lenovo IdeaPad Slim 3i",34690,I186="Mi NoteBook Ultra",57999,I186="Samsung Galaxy Go",36990,I186="Acer Aspire 3",38980)</f>
        <v>66989</v>
      </c>
      <c r="O186" s="5" t="s">
        <v>1030</v>
      </c>
    </row>
    <row r="187" spans="1:15" x14ac:dyDescent="0.35">
      <c r="A187" s="4">
        <v>17532</v>
      </c>
      <c r="B187" s="5" t="s">
        <v>7</v>
      </c>
      <c r="C187" s="5" t="s">
        <v>24</v>
      </c>
      <c r="D187" s="5" t="s">
        <v>1032</v>
      </c>
      <c r="E187" s="5" t="s">
        <v>1036</v>
      </c>
      <c r="F187" s="5" t="s">
        <v>1013</v>
      </c>
      <c r="G187" s="3" t="s">
        <v>1018</v>
      </c>
      <c r="H187" s="5" t="s">
        <v>399</v>
      </c>
      <c r="I187" s="5" t="s">
        <v>1024</v>
      </c>
      <c r="J187" s="4">
        <v>5020</v>
      </c>
      <c r="K187" s="1">
        <v>43963</v>
      </c>
      <c r="L187" s="1">
        <v>43964</v>
      </c>
      <c r="M187" s="4">
        <v>4</v>
      </c>
      <c r="N187" s="7" cm="1">
        <f t="array" ref="N187">_xlfn.IFS(I187="Dell Inspiron 15",66989,I187="Lenovo IdeaPad Slim 3i",34690,I187="Mi NoteBook Ultra",57999,I187="Samsung Galaxy Go",36990,I187="Acer Aspire 3",38980)</f>
        <v>34690</v>
      </c>
      <c r="O187" s="5" t="s">
        <v>1030</v>
      </c>
    </row>
    <row r="188" spans="1:15" x14ac:dyDescent="0.35">
      <c r="A188" s="4">
        <v>21370</v>
      </c>
      <c r="B188" s="5" t="s">
        <v>32</v>
      </c>
      <c r="C188" s="5" t="s">
        <v>135</v>
      </c>
      <c r="D188" s="5" t="s">
        <v>1032</v>
      </c>
      <c r="E188" s="5" t="s">
        <v>1033</v>
      </c>
      <c r="F188" s="5" t="s">
        <v>1010</v>
      </c>
      <c r="G188" s="3" t="s">
        <v>1015</v>
      </c>
      <c r="H188" s="5" t="s">
        <v>400</v>
      </c>
      <c r="I188" s="5" t="s">
        <v>1026</v>
      </c>
      <c r="J188" s="4">
        <v>4615</v>
      </c>
      <c r="K188" s="1">
        <v>43963</v>
      </c>
      <c r="L188" s="1">
        <v>43964</v>
      </c>
      <c r="M188" s="4">
        <v>4</v>
      </c>
      <c r="N188" s="7" cm="1">
        <f t="array" ref="N188">_xlfn.IFS(I188="Dell Inspiron 15",66989,I188="Lenovo IdeaPad Slim 3i",34690,I188="Mi NoteBook Ultra",57999,I188="Samsung Galaxy Go",36990,I188="Acer Aspire 3",38980)</f>
        <v>36990</v>
      </c>
      <c r="O188" s="5" t="s">
        <v>1030</v>
      </c>
    </row>
    <row r="189" spans="1:15" x14ac:dyDescent="0.35">
      <c r="A189" s="4">
        <v>21008</v>
      </c>
      <c r="B189" s="5" t="s">
        <v>85</v>
      </c>
      <c r="C189" s="5" t="s">
        <v>106</v>
      </c>
      <c r="D189" s="5" t="s">
        <v>1032</v>
      </c>
      <c r="E189" s="5" t="s">
        <v>1036</v>
      </c>
      <c r="F189" s="5" t="s">
        <v>1013</v>
      </c>
      <c r="G189" s="3" t="s">
        <v>1018</v>
      </c>
      <c r="H189" s="5" t="s">
        <v>401</v>
      </c>
      <c r="I189" s="5" t="s">
        <v>1023</v>
      </c>
      <c r="J189" s="4">
        <v>4922</v>
      </c>
      <c r="K189" s="1">
        <v>43929</v>
      </c>
      <c r="L189" s="1">
        <v>43930</v>
      </c>
      <c r="M189" s="4">
        <v>3</v>
      </c>
      <c r="N189" s="7" cm="1">
        <f t="array" ref="N189">_xlfn.IFS(I189="Dell Inspiron 15",66989,I189="Lenovo IdeaPad Slim 3i",34690,I189="Mi NoteBook Ultra",57999,I189="Samsung Galaxy Go",36990,I189="Acer Aspire 3",38980)</f>
        <v>66989</v>
      </c>
      <c r="O189" s="5" t="s">
        <v>1030</v>
      </c>
    </row>
    <row r="190" spans="1:15" x14ac:dyDescent="0.35">
      <c r="A190" s="4">
        <v>14256</v>
      </c>
      <c r="B190" s="5" t="s">
        <v>338</v>
      </c>
      <c r="C190" s="5" t="s">
        <v>21</v>
      </c>
      <c r="D190" s="5" t="s">
        <v>1032</v>
      </c>
      <c r="E190" s="5" t="s">
        <v>1033</v>
      </c>
      <c r="F190" s="5" t="s">
        <v>1010</v>
      </c>
      <c r="G190" s="3" t="s">
        <v>1015</v>
      </c>
      <c r="H190" s="5" t="s">
        <v>402</v>
      </c>
      <c r="I190" s="5" t="s">
        <v>1027</v>
      </c>
      <c r="J190" s="4">
        <v>5168</v>
      </c>
      <c r="K190" s="1">
        <v>43979</v>
      </c>
      <c r="L190" s="1">
        <v>43979</v>
      </c>
      <c r="M190" s="4">
        <v>10</v>
      </c>
      <c r="N190" s="7" cm="1">
        <f t="array" ref="N190">_xlfn.IFS(I190="Dell Inspiron 15",66989,I190="Lenovo IdeaPad Slim 3i",34690,I190="Mi NoteBook Ultra",57999,I190="Samsung Galaxy Go",36990,I190="Acer Aspire 3",38980)</f>
        <v>38980</v>
      </c>
      <c r="O190" s="5" t="s">
        <v>1030</v>
      </c>
    </row>
    <row r="191" spans="1:15" x14ac:dyDescent="0.35">
      <c r="A191" s="4">
        <v>23656</v>
      </c>
      <c r="B191" s="5" t="s">
        <v>240</v>
      </c>
      <c r="C191" s="5" t="s">
        <v>379</v>
      </c>
      <c r="D191" s="5" t="s">
        <v>1032</v>
      </c>
      <c r="E191" s="5" t="s">
        <v>1034</v>
      </c>
      <c r="F191" s="5" t="s">
        <v>1011</v>
      </c>
      <c r="G191" s="3" t="s">
        <v>1016</v>
      </c>
      <c r="H191" s="5" t="s">
        <v>403</v>
      </c>
      <c r="I191" s="5" t="s">
        <v>1025</v>
      </c>
      <c r="J191" s="4">
        <v>5459</v>
      </c>
      <c r="K191" s="1">
        <v>43873</v>
      </c>
      <c r="L191" s="1">
        <v>43876</v>
      </c>
      <c r="M191" s="4">
        <v>3</v>
      </c>
      <c r="N191" s="7" cm="1">
        <f t="array" ref="N191">_xlfn.IFS(I191="Dell Inspiron 15",66989,I191="Lenovo IdeaPad Slim 3i",34690,I191="Mi NoteBook Ultra",57999,I191="Samsung Galaxy Go",36990,I191="Acer Aspire 3",38980)</f>
        <v>57999</v>
      </c>
      <c r="O191" s="5" t="s">
        <v>1030</v>
      </c>
    </row>
    <row r="192" spans="1:15" x14ac:dyDescent="0.35">
      <c r="A192" s="4">
        <v>18928</v>
      </c>
      <c r="B192" s="5" t="s">
        <v>90</v>
      </c>
      <c r="C192" s="5" t="s">
        <v>9</v>
      </c>
      <c r="D192" s="5" t="s">
        <v>1032</v>
      </c>
      <c r="E192" s="5" t="s">
        <v>1033</v>
      </c>
      <c r="F192" s="5" t="s">
        <v>1010</v>
      </c>
      <c r="G192" s="3" t="s">
        <v>1015</v>
      </c>
      <c r="H192" s="5" t="s">
        <v>404</v>
      </c>
      <c r="I192" s="5" t="s">
        <v>1026</v>
      </c>
      <c r="J192" s="4">
        <v>5101</v>
      </c>
      <c r="K192" s="1">
        <v>43873</v>
      </c>
      <c r="L192" s="1">
        <v>43875</v>
      </c>
      <c r="M192" s="4">
        <v>5</v>
      </c>
      <c r="N192" s="7" cm="1">
        <f t="array" ref="N192">_xlfn.IFS(I192="Dell Inspiron 15",66989,I192="Lenovo IdeaPad Slim 3i",34690,I192="Mi NoteBook Ultra",57999,I192="Samsung Galaxy Go",36990,I192="Acer Aspire 3",38980)</f>
        <v>36990</v>
      </c>
      <c r="O192" s="5" t="s">
        <v>1030</v>
      </c>
    </row>
    <row r="193" spans="1:15" x14ac:dyDescent="0.35">
      <c r="A193" s="4">
        <v>13425</v>
      </c>
      <c r="B193" s="5" t="s">
        <v>405</v>
      </c>
      <c r="C193" s="5" t="s">
        <v>24</v>
      </c>
      <c r="D193" s="5" t="s">
        <v>1032</v>
      </c>
      <c r="E193" s="5" t="s">
        <v>1035</v>
      </c>
      <c r="F193" s="5" t="s">
        <v>1012</v>
      </c>
      <c r="G193" s="3" t="s">
        <v>1017</v>
      </c>
      <c r="H193" s="5" t="s">
        <v>406</v>
      </c>
      <c r="I193" s="5" t="s">
        <v>1027</v>
      </c>
      <c r="J193" s="4">
        <v>5289</v>
      </c>
      <c r="K193" s="1">
        <v>43966</v>
      </c>
      <c r="L193" s="1">
        <v>43967</v>
      </c>
      <c r="M193" s="4">
        <v>2</v>
      </c>
      <c r="N193" s="7" cm="1">
        <f t="array" ref="N193">_xlfn.IFS(I193="Dell Inspiron 15",66989,I193="Lenovo IdeaPad Slim 3i",34690,I193="Mi NoteBook Ultra",57999,I193="Samsung Galaxy Go",36990,I193="Acer Aspire 3",38980)</f>
        <v>38980</v>
      </c>
      <c r="O193" s="5" t="s">
        <v>1030</v>
      </c>
    </row>
    <row r="194" spans="1:15" x14ac:dyDescent="0.35">
      <c r="A194" s="4">
        <v>22281</v>
      </c>
      <c r="B194" s="5" t="s">
        <v>383</v>
      </c>
      <c r="C194" s="5" t="s">
        <v>146</v>
      </c>
      <c r="D194" s="5" t="s">
        <v>1032</v>
      </c>
      <c r="E194" s="5" t="s">
        <v>1035</v>
      </c>
      <c r="F194" s="5" t="s">
        <v>1012</v>
      </c>
      <c r="G194" s="3" t="s">
        <v>1017</v>
      </c>
      <c r="H194" s="5" t="s">
        <v>407</v>
      </c>
      <c r="I194" s="5" t="s">
        <v>1023</v>
      </c>
      <c r="J194" s="4">
        <v>4622</v>
      </c>
      <c r="K194" s="1">
        <v>43972</v>
      </c>
      <c r="L194" s="1">
        <v>43974</v>
      </c>
      <c r="M194" s="4">
        <v>8</v>
      </c>
      <c r="N194" s="7" cm="1">
        <f t="array" ref="N194">_xlfn.IFS(I194="Dell Inspiron 15",66989,I194="Lenovo IdeaPad Slim 3i",34690,I194="Mi NoteBook Ultra",57999,I194="Samsung Galaxy Go",36990,I194="Acer Aspire 3",38980)</f>
        <v>66989</v>
      </c>
      <c r="O194" s="5" t="s">
        <v>1030</v>
      </c>
    </row>
    <row r="195" spans="1:15" x14ac:dyDescent="0.35">
      <c r="A195" s="4">
        <v>16988</v>
      </c>
      <c r="B195" s="5" t="s">
        <v>408</v>
      </c>
      <c r="C195" s="5" t="s">
        <v>135</v>
      </c>
      <c r="D195" s="5" t="s">
        <v>1032</v>
      </c>
      <c r="E195" s="5" t="s">
        <v>1036</v>
      </c>
      <c r="F195" s="5" t="s">
        <v>1013</v>
      </c>
      <c r="G195" s="3" t="s">
        <v>1018</v>
      </c>
      <c r="H195" s="5" t="s">
        <v>409</v>
      </c>
      <c r="I195" s="5" t="s">
        <v>1025</v>
      </c>
      <c r="J195" s="4">
        <v>5176</v>
      </c>
      <c r="K195" s="1">
        <v>43966</v>
      </c>
      <c r="L195" s="1">
        <v>43967</v>
      </c>
      <c r="M195" s="4">
        <v>4</v>
      </c>
      <c r="N195" s="7" cm="1">
        <f t="array" ref="N195">_xlfn.IFS(I195="Dell Inspiron 15",66989,I195="Lenovo IdeaPad Slim 3i",34690,I195="Mi NoteBook Ultra",57999,I195="Samsung Galaxy Go",36990,I195="Acer Aspire 3",38980)</f>
        <v>57999</v>
      </c>
      <c r="O195" s="5" t="s">
        <v>1030</v>
      </c>
    </row>
    <row r="196" spans="1:15" x14ac:dyDescent="0.35">
      <c r="A196" s="4">
        <v>14613</v>
      </c>
      <c r="B196" s="5" t="s">
        <v>334</v>
      </c>
      <c r="C196" s="5" t="s">
        <v>252</v>
      </c>
      <c r="D196" s="5" t="s">
        <v>1032</v>
      </c>
      <c r="E196" s="5" t="s">
        <v>1033</v>
      </c>
      <c r="F196" s="5" t="s">
        <v>1010</v>
      </c>
      <c r="G196" s="3" t="s">
        <v>1015</v>
      </c>
      <c r="H196" s="5" t="s">
        <v>410</v>
      </c>
      <c r="I196" s="5" t="s">
        <v>1027</v>
      </c>
      <c r="J196" s="4">
        <v>4826</v>
      </c>
      <c r="K196" s="1">
        <v>43972</v>
      </c>
      <c r="L196" s="1">
        <v>43973</v>
      </c>
      <c r="M196" s="4">
        <v>10</v>
      </c>
      <c r="N196" s="7" cm="1">
        <f t="array" ref="N196">_xlfn.IFS(I196="Dell Inspiron 15",66989,I196="Lenovo IdeaPad Slim 3i",34690,I196="Mi NoteBook Ultra",57999,I196="Samsung Galaxy Go",36990,I196="Acer Aspire 3",38980)</f>
        <v>38980</v>
      </c>
      <c r="O196" s="5" t="s">
        <v>1030</v>
      </c>
    </row>
    <row r="197" spans="1:15" x14ac:dyDescent="0.35">
      <c r="A197" s="4">
        <v>13014</v>
      </c>
      <c r="B197" s="5" t="s">
        <v>411</v>
      </c>
      <c r="C197" s="5" t="s">
        <v>256</v>
      </c>
      <c r="D197" s="5" t="s">
        <v>1032</v>
      </c>
      <c r="E197" s="5" t="s">
        <v>1034</v>
      </c>
      <c r="F197" s="5" t="s">
        <v>1011</v>
      </c>
      <c r="G197" s="3" t="s">
        <v>1016</v>
      </c>
      <c r="H197" s="5" t="s">
        <v>412</v>
      </c>
      <c r="I197" s="5" t="s">
        <v>1023</v>
      </c>
      <c r="J197" s="4">
        <v>5171</v>
      </c>
      <c r="K197" s="1">
        <v>43972</v>
      </c>
      <c r="L197" s="1">
        <v>43974</v>
      </c>
      <c r="M197" s="4">
        <v>2</v>
      </c>
      <c r="N197" s="7" cm="1">
        <f t="array" ref="N197">_xlfn.IFS(I197="Dell Inspiron 15",66989,I197="Lenovo IdeaPad Slim 3i",34690,I197="Mi NoteBook Ultra",57999,I197="Samsung Galaxy Go",36990,I197="Acer Aspire 3",38980)</f>
        <v>66989</v>
      </c>
      <c r="O197" s="5" t="s">
        <v>1030</v>
      </c>
    </row>
    <row r="198" spans="1:15" x14ac:dyDescent="0.35">
      <c r="A198" s="4">
        <v>14129</v>
      </c>
      <c r="B198" s="5" t="s">
        <v>413</v>
      </c>
      <c r="C198" s="5" t="s">
        <v>9</v>
      </c>
      <c r="D198" s="5" t="s">
        <v>1032</v>
      </c>
      <c r="E198" s="5" t="s">
        <v>1033</v>
      </c>
      <c r="F198" s="5" t="s">
        <v>1010</v>
      </c>
      <c r="G198" s="3" t="s">
        <v>1015</v>
      </c>
      <c r="H198" s="5" t="s">
        <v>414</v>
      </c>
      <c r="I198" s="5" t="s">
        <v>1024</v>
      </c>
      <c r="J198" s="4">
        <v>4999</v>
      </c>
      <c r="K198" s="1">
        <v>43858</v>
      </c>
      <c r="L198" s="1">
        <v>43859</v>
      </c>
      <c r="M198" s="4">
        <v>4</v>
      </c>
      <c r="N198" s="7" cm="1">
        <f t="array" ref="N198">_xlfn.IFS(I198="Dell Inspiron 15",66989,I198="Lenovo IdeaPad Slim 3i",34690,I198="Mi NoteBook Ultra",57999,I198="Samsung Galaxy Go",36990,I198="Acer Aspire 3",38980)</f>
        <v>34690</v>
      </c>
      <c r="O198" s="5" t="s">
        <v>1030</v>
      </c>
    </row>
    <row r="199" spans="1:15" x14ac:dyDescent="0.35">
      <c r="A199" s="4">
        <v>15851</v>
      </c>
      <c r="B199" s="5" t="s">
        <v>101</v>
      </c>
      <c r="C199" s="5" t="s">
        <v>415</v>
      </c>
      <c r="D199" s="5" t="s">
        <v>1032</v>
      </c>
      <c r="E199" s="5" t="s">
        <v>1035</v>
      </c>
      <c r="F199" s="5" t="s">
        <v>1012</v>
      </c>
      <c r="G199" s="3" t="s">
        <v>1017</v>
      </c>
      <c r="H199" s="5" t="s">
        <v>416</v>
      </c>
      <c r="I199" s="5" t="s">
        <v>1025</v>
      </c>
      <c r="J199" s="4">
        <v>5416</v>
      </c>
      <c r="K199" s="1">
        <v>43858</v>
      </c>
      <c r="L199" s="1">
        <v>43860</v>
      </c>
      <c r="M199" s="4">
        <v>2</v>
      </c>
      <c r="N199" s="7" cm="1">
        <f t="array" ref="N199">_xlfn.IFS(I199="Dell Inspiron 15",66989,I199="Lenovo IdeaPad Slim 3i",34690,I199="Mi NoteBook Ultra",57999,I199="Samsung Galaxy Go",36990,I199="Acer Aspire 3",38980)</f>
        <v>57999</v>
      </c>
      <c r="O199" s="5" t="s">
        <v>1030</v>
      </c>
    </row>
    <row r="200" spans="1:15" x14ac:dyDescent="0.35">
      <c r="A200" s="4">
        <v>21747</v>
      </c>
      <c r="B200" s="5" t="s">
        <v>227</v>
      </c>
      <c r="C200" s="5" t="s">
        <v>106</v>
      </c>
      <c r="D200" s="5" t="s">
        <v>1032</v>
      </c>
      <c r="E200" s="5" t="s">
        <v>1035</v>
      </c>
      <c r="F200" s="5" t="s">
        <v>1012</v>
      </c>
      <c r="G200" s="3" t="s">
        <v>1017</v>
      </c>
      <c r="H200" s="5" t="s">
        <v>417</v>
      </c>
      <c r="I200" s="5" t="s">
        <v>1026</v>
      </c>
      <c r="J200" s="4">
        <v>4807</v>
      </c>
      <c r="K200" s="1">
        <v>43953</v>
      </c>
      <c r="L200" s="1">
        <v>43955</v>
      </c>
      <c r="M200" s="4">
        <v>4</v>
      </c>
      <c r="N200" s="7" cm="1">
        <f t="array" ref="N200">_xlfn.IFS(I200="Dell Inspiron 15",66989,I200="Lenovo IdeaPad Slim 3i",34690,I200="Mi NoteBook Ultra",57999,I200="Samsung Galaxy Go",36990,I200="Acer Aspire 3",38980)</f>
        <v>36990</v>
      </c>
      <c r="O200" s="5" t="s">
        <v>1030</v>
      </c>
    </row>
    <row r="201" spans="1:15" x14ac:dyDescent="0.35">
      <c r="A201" s="4">
        <v>19117</v>
      </c>
      <c r="B201" s="5" t="s">
        <v>7</v>
      </c>
      <c r="C201" s="5" t="s">
        <v>360</v>
      </c>
      <c r="D201" s="5" t="s">
        <v>1032</v>
      </c>
      <c r="E201" s="5" t="s">
        <v>1036</v>
      </c>
      <c r="F201" s="5" t="s">
        <v>1013</v>
      </c>
      <c r="G201" s="3" t="s">
        <v>1018</v>
      </c>
      <c r="H201" s="5" t="s">
        <v>418</v>
      </c>
      <c r="I201" s="5" t="s">
        <v>1027</v>
      </c>
      <c r="J201" s="4">
        <v>5441</v>
      </c>
      <c r="K201" s="1">
        <v>43883</v>
      </c>
      <c r="L201" s="1">
        <v>43884</v>
      </c>
      <c r="M201" s="4">
        <v>7</v>
      </c>
      <c r="N201" s="7" cm="1">
        <f t="array" ref="N201">_xlfn.IFS(I201="Dell Inspiron 15",66989,I201="Lenovo IdeaPad Slim 3i",34690,I201="Mi NoteBook Ultra",57999,I201="Samsung Galaxy Go",36990,I201="Acer Aspire 3",38980)</f>
        <v>38980</v>
      </c>
      <c r="O201" s="5" t="s">
        <v>1030</v>
      </c>
    </row>
    <row r="202" spans="1:15" x14ac:dyDescent="0.35">
      <c r="A202" s="4">
        <v>18462</v>
      </c>
      <c r="B202" s="5" t="s">
        <v>345</v>
      </c>
      <c r="C202" s="5" t="s">
        <v>419</v>
      </c>
      <c r="D202" s="5" t="s">
        <v>1032</v>
      </c>
      <c r="E202" s="5" t="s">
        <v>1033</v>
      </c>
      <c r="F202" s="5" t="s">
        <v>1010</v>
      </c>
      <c r="G202" s="3" t="s">
        <v>1015</v>
      </c>
      <c r="H202" s="5" t="s">
        <v>420</v>
      </c>
      <c r="I202" s="5" t="s">
        <v>1023</v>
      </c>
      <c r="J202" s="4">
        <v>4913</v>
      </c>
      <c r="K202" s="1">
        <v>43917</v>
      </c>
      <c r="L202" s="1">
        <v>43918</v>
      </c>
      <c r="M202" s="4">
        <v>8</v>
      </c>
      <c r="N202" s="7" cm="1">
        <f t="array" ref="N202">_xlfn.IFS(I202="Dell Inspiron 15",66989,I202="Lenovo IdeaPad Slim 3i",34690,I202="Mi NoteBook Ultra",57999,I202="Samsung Galaxy Go",36990,I202="Acer Aspire 3",38980)</f>
        <v>66989</v>
      </c>
      <c r="O202" s="5" t="s">
        <v>1030</v>
      </c>
    </row>
    <row r="203" spans="1:15" x14ac:dyDescent="0.35">
      <c r="A203" s="4">
        <v>22275</v>
      </c>
      <c r="B203" s="5" t="s">
        <v>48</v>
      </c>
      <c r="C203" s="5" t="s">
        <v>379</v>
      </c>
      <c r="D203" s="5" t="s">
        <v>1032</v>
      </c>
      <c r="E203" s="5" t="s">
        <v>1034</v>
      </c>
      <c r="F203" s="5" t="s">
        <v>1011</v>
      </c>
      <c r="G203" s="3" t="s">
        <v>1016</v>
      </c>
      <c r="H203" s="5" t="s">
        <v>421</v>
      </c>
      <c r="I203" s="5" t="s">
        <v>1025</v>
      </c>
      <c r="J203" s="4">
        <v>4713</v>
      </c>
      <c r="K203" s="1">
        <v>43850</v>
      </c>
      <c r="L203" s="1">
        <v>43852</v>
      </c>
      <c r="M203" s="4">
        <v>10</v>
      </c>
      <c r="N203" s="7" cm="1">
        <f t="array" ref="N203">_xlfn.IFS(I203="Dell Inspiron 15",66989,I203="Lenovo IdeaPad Slim 3i",34690,I203="Mi NoteBook Ultra",57999,I203="Samsung Galaxy Go",36990,I203="Acer Aspire 3",38980)</f>
        <v>57999</v>
      </c>
      <c r="O203" s="5" t="s">
        <v>1030</v>
      </c>
    </row>
    <row r="204" spans="1:15" x14ac:dyDescent="0.35">
      <c r="A204" s="4">
        <v>19077</v>
      </c>
      <c r="B204" s="5" t="s">
        <v>80</v>
      </c>
      <c r="C204" s="5" t="s">
        <v>317</v>
      </c>
      <c r="D204" s="5" t="s">
        <v>1032</v>
      </c>
      <c r="E204" s="5" t="s">
        <v>1033</v>
      </c>
      <c r="F204" s="5" t="s">
        <v>1010</v>
      </c>
      <c r="G204" s="3" t="s">
        <v>1015</v>
      </c>
      <c r="H204" s="5" t="s">
        <v>422</v>
      </c>
      <c r="I204" s="5" t="s">
        <v>1027</v>
      </c>
      <c r="J204" s="4">
        <v>5085</v>
      </c>
      <c r="K204" s="1">
        <v>43902</v>
      </c>
      <c r="L204" s="1">
        <v>43909</v>
      </c>
      <c r="M204" s="4">
        <v>4</v>
      </c>
      <c r="N204" s="7" cm="1">
        <f t="array" ref="N204">_xlfn.IFS(I204="Dell Inspiron 15",66989,I204="Lenovo IdeaPad Slim 3i",34690,I204="Mi NoteBook Ultra",57999,I204="Samsung Galaxy Go",36990,I204="Acer Aspire 3",38980)</f>
        <v>38980</v>
      </c>
      <c r="O204" s="5" t="s">
        <v>1030</v>
      </c>
    </row>
    <row r="205" spans="1:15" x14ac:dyDescent="0.35">
      <c r="A205" s="4">
        <v>21580</v>
      </c>
      <c r="B205" s="5" t="s">
        <v>60</v>
      </c>
      <c r="C205" s="5" t="s">
        <v>91</v>
      </c>
      <c r="D205" s="5" t="s">
        <v>1032</v>
      </c>
      <c r="E205" s="5" t="s">
        <v>1035</v>
      </c>
      <c r="F205" s="5" t="s">
        <v>1012</v>
      </c>
      <c r="G205" s="3" t="s">
        <v>1017</v>
      </c>
      <c r="H205" s="5" t="s">
        <v>423</v>
      </c>
      <c r="I205" s="5" t="s">
        <v>1023</v>
      </c>
      <c r="J205" s="4">
        <v>4728</v>
      </c>
      <c r="K205" s="1">
        <v>43997</v>
      </c>
      <c r="L205" s="1">
        <v>43999</v>
      </c>
      <c r="M205" s="4">
        <v>2</v>
      </c>
      <c r="N205" s="7" cm="1">
        <f t="array" ref="N205">_xlfn.IFS(I205="Dell Inspiron 15",66989,I205="Lenovo IdeaPad Slim 3i",34690,I205="Mi NoteBook Ultra",57999,I205="Samsung Galaxy Go",36990,I205="Acer Aspire 3",38980)</f>
        <v>66989</v>
      </c>
      <c r="O205" s="5" t="s">
        <v>1030</v>
      </c>
    </row>
    <row r="206" spans="1:15" x14ac:dyDescent="0.35">
      <c r="A206" s="4">
        <v>25037</v>
      </c>
      <c r="B206" s="5" t="s">
        <v>60</v>
      </c>
      <c r="C206" s="5" t="s">
        <v>221</v>
      </c>
      <c r="D206" s="5" t="s">
        <v>1032</v>
      </c>
      <c r="E206" s="5" t="s">
        <v>1035</v>
      </c>
      <c r="F206" s="5" t="s">
        <v>1012</v>
      </c>
      <c r="G206" s="3" t="s">
        <v>1017</v>
      </c>
      <c r="H206" s="5" t="s">
        <v>424</v>
      </c>
      <c r="I206" s="5" t="s">
        <v>1024</v>
      </c>
      <c r="J206" s="4">
        <v>4810</v>
      </c>
      <c r="K206" s="1">
        <v>43997</v>
      </c>
      <c r="L206" s="1">
        <v>43998</v>
      </c>
      <c r="M206" s="4">
        <v>1</v>
      </c>
      <c r="N206" s="7" cm="1">
        <f t="array" ref="N206">_xlfn.IFS(I206="Dell Inspiron 15",66989,I206="Lenovo IdeaPad Slim 3i",34690,I206="Mi NoteBook Ultra",57999,I206="Samsung Galaxy Go",36990,I206="Acer Aspire 3",38980)</f>
        <v>34690</v>
      </c>
      <c r="O206" s="5" t="s">
        <v>1030</v>
      </c>
    </row>
    <row r="207" spans="1:15" x14ac:dyDescent="0.35">
      <c r="A207" s="4">
        <v>20857</v>
      </c>
      <c r="B207" s="5" t="s">
        <v>156</v>
      </c>
      <c r="C207" s="5" t="s">
        <v>200</v>
      </c>
      <c r="D207" s="5" t="s">
        <v>1032</v>
      </c>
      <c r="E207" s="5" t="s">
        <v>1035</v>
      </c>
      <c r="F207" s="5" t="s">
        <v>1012</v>
      </c>
      <c r="G207" s="3" t="s">
        <v>1017</v>
      </c>
      <c r="H207" s="5" t="s">
        <v>425</v>
      </c>
      <c r="I207" s="5" t="s">
        <v>1026</v>
      </c>
      <c r="J207" s="4">
        <v>4558</v>
      </c>
      <c r="K207" s="1">
        <v>43961</v>
      </c>
      <c r="L207" s="1">
        <v>43962</v>
      </c>
      <c r="M207" s="4">
        <v>4</v>
      </c>
      <c r="N207" s="7" cm="1">
        <f t="array" ref="N207">_xlfn.IFS(I207="Dell Inspiron 15",66989,I207="Lenovo IdeaPad Slim 3i",34690,I207="Mi NoteBook Ultra",57999,I207="Samsung Galaxy Go",36990,I207="Acer Aspire 3",38980)</f>
        <v>36990</v>
      </c>
      <c r="O207" s="5" t="s">
        <v>1030</v>
      </c>
    </row>
    <row r="208" spans="1:15" x14ac:dyDescent="0.35">
      <c r="A208" s="4">
        <v>16923</v>
      </c>
      <c r="B208" s="5" t="s">
        <v>258</v>
      </c>
      <c r="C208" s="5" t="s">
        <v>426</v>
      </c>
      <c r="D208" s="5" t="s">
        <v>1032</v>
      </c>
      <c r="E208" s="5" t="s">
        <v>1036</v>
      </c>
      <c r="F208" s="5" t="s">
        <v>1013</v>
      </c>
      <c r="G208" s="3" t="s">
        <v>1018</v>
      </c>
      <c r="H208" s="5" t="s">
        <v>427</v>
      </c>
      <c r="I208" s="5" t="s">
        <v>1023</v>
      </c>
      <c r="J208" s="4">
        <v>5461</v>
      </c>
      <c r="K208" s="1">
        <v>43900</v>
      </c>
      <c r="L208" s="1">
        <v>43900</v>
      </c>
      <c r="M208" s="4">
        <v>10</v>
      </c>
      <c r="N208" s="7" cm="1">
        <f t="array" ref="N208">_xlfn.IFS(I208="Dell Inspiron 15",66989,I208="Lenovo IdeaPad Slim 3i",34690,I208="Mi NoteBook Ultra",57999,I208="Samsung Galaxy Go",36990,I208="Acer Aspire 3",38980)</f>
        <v>66989</v>
      </c>
      <c r="O208" s="5" t="s">
        <v>1030</v>
      </c>
    </row>
    <row r="209" spans="1:15" x14ac:dyDescent="0.35">
      <c r="A209" s="4">
        <v>21714</v>
      </c>
      <c r="B209" s="5" t="s">
        <v>203</v>
      </c>
      <c r="C209" s="5" t="s">
        <v>428</v>
      </c>
      <c r="D209" s="5" t="s">
        <v>1032</v>
      </c>
      <c r="E209" s="5" t="s">
        <v>1035</v>
      </c>
      <c r="F209" s="5" t="s">
        <v>1012</v>
      </c>
      <c r="G209" s="3" t="s">
        <v>1017</v>
      </c>
      <c r="H209" s="5" t="s">
        <v>429</v>
      </c>
      <c r="I209" s="5" t="s">
        <v>1027</v>
      </c>
      <c r="J209" s="4">
        <v>5135</v>
      </c>
      <c r="K209" s="1">
        <v>43858</v>
      </c>
      <c r="L209" s="1">
        <v>43860</v>
      </c>
      <c r="M209" s="4">
        <v>5</v>
      </c>
      <c r="N209" s="7" cm="1">
        <f t="array" ref="N209">_xlfn.IFS(I209="Dell Inspiron 15",66989,I209="Lenovo IdeaPad Slim 3i",34690,I209="Mi NoteBook Ultra",57999,I209="Samsung Galaxy Go",36990,I209="Acer Aspire 3",38980)</f>
        <v>38980</v>
      </c>
      <c r="O209" s="5" t="s">
        <v>1030</v>
      </c>
    </row>
    <row r="210" spans="1:15" x14ac:dyDescent="0.35">
      <c r="A210" s="4">
        <v>15744</v>
      </c>
      <c r="B210" s="5" t="s">
        <v>319</v>
      </c>
      <c r="C210" s="5" t="s">
        <v>430</v>
      </c>
      <c r="D210" s="5" t="s">
        <v>1032</v>
      </c>
      <c r="E210" s="5" t="s">
        <v>1035</v>
      </c>
      <c r="F210" s="5" t="s">
        <v>1012</v>
      </c>
      <c r="G210" s="3" t="s">
        <v>1017</v>
      </c>
      <c r="H210" s="5" t="s">
        <v>431</v>
      </c>
      <c r="I210" s="5" t="s">
        <v>1025</v>
      </c>
      <c r="J210" s="4">
        <v>5422</v>
      </c>
      <c r="K210" s="1">
        <v>43900</v>
      </c>
      <c r="L210" s="1">
        <v>43901</v>
      </c>
      <c r="M210" s="4">
        <v>3</v>
      </c>
      <c r="N210" s="7" cm="1">
        <f t="array" ref="N210">_xlfn.IFS(I210="Dell Inspiron 15",66989,I210="Lenovo IdeaPad Slim 3i",34690,I210="Mi NoteBook Ultra",57999,I210="Samsung Galaxy Go",36990,I210="Acer Aspire 3",38980)</f>
        <v>57999</v>
      </c>
      <c r="O210" s="5" t="s">
        <v>1030</v>
      </c>
    </row>
    <row r="211" spans="1:15" x14ac:dyDescent="0.35">
      <c r="A211" s="4">
        <v>15737</v>
      </c>
      <c r="B211" s="5" t="s">
        <v>227</v>
      </c>
      <c r="C211" s="5" t="s">
        <v>343</v>
      </c>
      <c r="D211" s="5" t="s">
        <v>1032</v>
      </c>
      <c r="E211" s="5" t="s">
        <v>1036</v>
      </c>
      <c r="F211" s="5" t="s">
        <v>1013</v>
      </c>
      <c r="G211" s="3" t="s">
        <v>1018</v>
      </c>
      <c r="H211" s="5" t="s">
        <v>432</v>
      </c>
      <c r="I211" s="5" t="s">
        <v>1026</v>
      </c>
      <c r="J211" s="4">
        <v>4704</v>
      </c>
      <c r="K211" s="1">
        <v>43941</v>
      </c>
      <c r="L211" s="1">
        <v>43942</v>
      </c>
      <c r="M211" s="4">
        <v>6</v>
      </c>
      <c r="N211" s="7" cm="1">
        <f t="array" ref="N211">_xlfn.IFS(I211="Dell Inspiron 15",66989,I211="Lenovo IdeaPad Slim 3i",34690,I211="Mi NoteBook Ultra",57999,I211="Samsung Galaxy Go",36990,I211="Acer Aspire 3",38980)</f>
        <v>36990</v>
      </c>
      <c r="O211" s="5" t="s">
        <v>1030</v>
      </c>
    </row>
    <row r="212" spans="1:15" x14ac:dyDescent="0.35">
      <c r="A212" s="4">
        <v>21203</v>
      </c>
      <c r="B212" s="5" t="s">
        <v>433</v>
      </c>
      <c r="C212" s="5" t="s">
        <v>81</v>
      </c>
      <c r="D212" s="5" t="s">
        <v>1032</v>
      </c>
      <c r="E212" s="5" t="s">
        <v>1036</v>
      </c>
      <c r="F212" s="5" t="s">
        <v>1013</v>
      </c>
      <c r="G212" s="3" t="s">
        <v>1018</v>
      </c>
      <c r="H212" s="5" t="s">
        <v>434</v>
      </c>
      <c r="I212" s="5" t="s">
        <v>1027</v>
      </c>
      <c r="J212" s="4">
        <v>4654</v>
      </c>
      <c r="K212" s="1">
        <v>43941</v>
      </c>
      <c r="L212" s="1">
        <v>43942</v>
      </c>
      <c r="M212" s="4">
        <v>8</v>
      </c>
      <c r="N212" s="7" cm="1">
        <f t="array" ref="N212">_xlfn.IFS(I212="Dell Inspiron 15",66989,I212="Lenovo IdeaPad Slim 3i",34690,I212="Mi NoteBook Ultra",57999,I212="Samsung Galaxy Go",36990,I212="Acer Aspire 3",38980)</f>
        <v>38980</v>
      </c>
      <c r="O212" s="5" t="s">
        <v>1030</v>
      </c>
    </row>
    <row r="213" spans="1:15" x14ac:dyDescent="0.35">
      <c r="A213" s="4">
        <v>23278</v>
      </c>
      <c r="B213" s="5" t="s">
        <v>435</v>
      </c>
      <c r="C213" s="5" t="s">
        <v>75</v>
      </c>
      <c r="D213" s="5" t="s">
        <v>1032</v>
      </c>
      <c r="E213" s="5" t="s">
        <v>1033</v>
      </c>
      <c r="F213" s="5" t="s">
        <v>1010</v>
      </c>
      <c r="G213" s="3" t="s">
        <v>1015</v>
      </c>
      <c r="H213" s="5" t="s">
        <v>436</v>
      </c>
      <c r="I213" s="5" t="s">
        <v>1023</v>
      </c>
      <c r="J213" s="4">
        <v>4603</v>
      </c>
      <c r="K213" s="1">
        <v>43960</v>
      </c>
      <c r="L213" s="1">
        <v>43962</v>
      </c>
      <c r="M213" s="4">
        <v>1</v>
      </c>
      <c r="N213" s="7" cm="1">
        <f t="array" ref="N213">_xlfn.IFS(I213="Dell Inspiron 15",66989,I213="Lenovo IdeaPad Slim 3i",34690,I213="Mi NoteBook Ultra",57999,I213="Samsung Galaxy Go",36990,I213="Acer Aspire 3",38980)</f>
        <v>66989</v>
      </c>
      <c r="O213" s="5" t="s">
        <v>1030</v>
      </c>
    </row>
    <row r="214" spans="1:15" x14ac:dyDescent="0.35">
      <c r="A214" s="4">
        <v>25473</v>
      </c>
      <c r="B214" s="5" t="s">
        <v>437</v>
      </c>
      <c r="C214" s="5" t="s">
        <v>438</v>
      </c>
      <c r="D214" s="5" t="s">
        <v>1032</v>
      </c>
      <c r="E214" s="5" t="s">
        <v>1034</v>
      </c>
      <c r="F214" s="5" t="s">
        <v>1011</v>
      </c>
      <c r="G214" s="3" t="s">
        <v>1016</v>
      </c>
      <c r="H214" s="5" t="s">
        <v>439</v>
      </c>
      <c r="I214" s="5" t="s">
        <v>1025</v>
      </c>
      <c r="J214" s="4">
        <v>4888</v>
      </c>
      <c r="K214" s="1">
        <v>43994</v>
      </c>
      <c r="L214" s="1">
        <v>43996</v>
      </c>
      <c r="M214" s="4">
        <v>10</v>
      </c>
      <c r="N214" s="7" cm="1">
        <f t="array" ref="N214">_xlfn.IFS(I214="Dell Inspiron 15",66989,I214="Lenovo IdeaPad Slim 3i",34690,I214="Mi NoteBook Ultra",57999,I214="Samsung Galaxy Go",36990,I214="Acer Aspire 3",38980)</f>
        <v>57999</v>
      </c>
      <c r="O214" s="5" t="s">
        <v>1030</v>
      </c>
    </row>
    <row r="215" spans="1:15" x14ac:dyDescent="0.35">
      <c r="A215" s="4">
        <v>18326</v>
      </c>
      <c r="B215" s="5" t="s">
        <v>186</v>
      </c>
      <c r="C215" s="5" t="s">
        <v>325</v>
      </c>
      <c r="D215" s="5" t="s">
        <v>1032</v>
      </c>
      <c r="E215" s="5" t="s">
        <v>1033</v>
      </c>
      <c r="F215" s="5" t="s">
        <v>1010</v>
      </c>
      <c r="G215" s="3" t="s">
        <v>1015</v>
      </c>
      <c r="H215" s="5" t="s">
        <v>440</v>
      </c>
      <c r="I215" s="5" t="s">
        <v>1027</v>
      </c>
      <c r="J215" s="4">
        <v>4559</v>
      </c>
      <c r="K215" s="1">
        <v>43892</v>
      </c>
      <c r="L215" s="1">
        <v>43894</v>
      </c>
      <c r="M215" s="4">
        <v>6</v>
      </c>
      <c r="N215" s="7" cm="1">
        <f t="array" ref="N215">_xlfn.IFS(I215="Dell Inspiron 15",66989,I215="Lenovo IdeaPad Slim 3i",34690,I215="Mi NoteBook Ultra",57999,I215="Samsung Galaxy Go",36990,I215="Acer Aspire 3",38980)</f>
        <v>38980</v>
      </c>
      <c r="O215" s="5" t="s">
        <v>1030</v>
      </c>
    </row>
    <row r="216" spans="1:15" x14ac:dyDescent="0.35">
      <c r="A216" s="4">
        <v>12772</v>
      </c>
      <c r="B216" s="5" t="s">
        <v>104</v>
      </c>
      <c r="C216" s="5" t="s">
        <v>81</v>
      </c>
      <c r="D216" s="5" t="s">
        <v>1032</v>
      </c>
      <c r="E216" s="5" t="s">
        <v>1035</v>
      </c>
      <c r="F216" s="5" t="s">
        <v>1012</v>
      </c>
      <c r="G216" s="3" t="s">
        <v>1017</v>
      </c>
      <c r="H216" s="5" t="s">
        <v>441</v>
      </c>
      <c r="I216" s="5" t="s">
        <v>1023</v>
      </c>
      <c r="J216" s="4">
        <v>4711</v>
      </c>
      <c r="K216" s="1">
        <v>43892</v>
      </c>
      <c r="L216" s="1">
        <v>43892</v>
      </c>
      <c r="M216" s="4">
        <v>5</v>
      </c>
      <c r="N216" s="7" cm="1">
        <f t="array" ref="N216">_xlfn.IFS(I216="Dell Inspiron 15",66989,I216="Lenovo IdeaPad Slim 3i",34690,I216="Mi NoteBook Ultra",57999,I216="Samsung Galaxy Go",36990,I216="Acer Aspire 3",38980)</f>
        <v>66989</v>
      </c>
      <c r="O216" s="5" t="s">
        <v>1030</v>
      </c>
    </row>
    <row r="217" spans="1:15" x14ac:dyDescent="0.35">
      <c r="A217" s="4">
        <v>15836</v>
      </c>
      <c r="B217" s="5" t="s">
        <v>293</v>
      </c>
      <c r="C217" s="5" t="s">
        <v>442</v>
      </c>
      <c r="D217" s="5" t="s">
        <v>1032</v>
      </c>
      <c r="E217" s="5" t="s">
        <v>1035</v>
      </c>
      <c r="F217" s="5" t="s">
        <v>1012</v>
      </c>
      <c r="G217" s="3" t="s">
        <v>1017</v>
      </c>
      <c r="H217" s="5" t="s">
        <v>443</v>
      </c>
      <c r="I217" s="5" t="s">
        <v>1024</v>
      </c>
      <c r="J217" s="4">
        <v>5179</v>
      </c>
      <c r="K217" s="1">
        <v>43832</v>
      </c>
      <c r="L217" s="1">
        <v>43839</v>
      </c>
      <c r="M217" s="4">
        <v>4</v>
      </c>
      <c r="N217" s="7" cm="1">
        <f t="array" ref="N217">_xlfn.IFS(I217="Dell Inspiron 15",66989,I217="Lenovo IdeaPad Slim 3i",34690,I217="Mi NoteBook Ultra",57999,I217="Samsung Galaxy Go",36990,I217="Acer Aspire 3",38980)</f>
        <v>34690</v>
      </c>
      <c r="O217" s="5" t="s">
        <v>1030</v>
      </c>
    </row>
    <row r="218" spans="1:15" x14ac:dyDescent="0.35">
      <c r="A218" s="4">
        <v>22922</v>
      </c>
      <c r="B218" s="5" t="s">
        <v>62</v>
      </c>
      <c r="C218" s="5" t="s">
        <v>119</v>
      </c>
      <c r="D218" s="5" t="s">
        <v>1032</v>
      </c>
      <c r="E218" s="5" t="s">
        <v>1036</v>
      </c>
      <c r="F218" s="5" t="s">
        <v>1013</v>
      </c>
      <c r="G218" s="3" t="s">
        <v>1018</v>
      </c>
      <c r="H218" s="5" t="s">
        <v>444</v>
      </c>
      <c r="I218" s="5" t="s">
        <v>1023</v>
      </c>
      <c r="J218" s="4">
        <v>4902</v>
      </c>
      <c r="K218" s="1">
        <v>43832</v>
      </c>
      <c r="L218" s="1">
        <v>43832</v>
      </c>
      <c r="M218" s="4">
        <v>5</v>
      </c>
      <c r="N218" s="7" cm="1">
        <f t="array" ref="N218">_xlfn.IFS(I218="Dell Inspiron 15",66989,I218="Lenovo IdeaPad Slim 3i",34690,I218="Mi NoteBook Ultra",57999,I218="Samsung Galaxy Go",36990,I218="Acer Aspire 3",38980)</f>
        <v>66989</v>
      </c>
      <c r="O218" s="5" t="s">
        <v>1030</v>
      </c>
    </row>
    <row r="219" spans="1:15" x14ac:dyDescent="0.35">
      <c r="A219" s="4">
        <v>18690</v>
      </c>
      <c r="B219" s="5" t="s">
        <v>104</v>
      </c>
      <c r="C219" s="5" t="s">
        <v>160</v>
      </c>
      <c r="D219" s="5" t="s">
        <v>1032</v>
      </c>
      <c r="E219" s="5" t="s">
        <v>1033</v>
      </c>
      <c r="F219" s="5" t="s">
        <v>1010</v>
      </c>
      <c r="G219" s="3" t="s">
        <v>1015</v>
      </c>
      <c r="H219" s="5" t="s">
        <v>445</v>
      </c>
      <c r="I219" s="5" t="s">
        <v>1024</v>
      </c>
      <c r="J219" s="4">
        <v>4664</v>
      </c>
      <c r="K219" s="1">
        <v>43832</v>
      </c>
      <c r="L219" s="1">
        <v>43834</v>
      </c>
      <c r="M219" s="4">
        <v>7</v>
      </c>
      <c r="N219" s="7" cm="1">
        <f t="array" ref="N219">_xlfn.IFS(I219="Dell Inspiron 15",66989,I219="Lenovo IdeaPad Slim 3i",34690,I219="Mi NoteBook Ultra",57999,I219="Samsung Galaxy Go",36990,I219="Acer Aspire 3",38980)</f>
        <v>34690</v>
      </c>
      <c r="O219" s="5" t="s">
        <v>1030</v>
      </c>
    </row>
    <row r="220" spans="1:15" x14ac:dyDescent="0.35">
      <c r="A220" s="4">
        <v>14352</v>
      </c>
      <c r="B220" s="5" t="s">
        <v>139</v>
      </c>
      <c r="C220" s="5" t="s">
        <v>42</v>
      </c>
      <c r="D220" s="5" t="s">
        <v>1032</v>
      </c>
      <c r="E220" s="5" t="s">
        <v>1034</v>
      </c>
      <c r="F220" s="5" t="s">
        <v>1011</v>
      </c>
      <c r="G220" s="3" t="s">
        <v>1016</v>
      </c>
      <c r="H220" s="5" t="s">
        <v>446</v>
      </c>
      <c r="I220" s="5" t="s">
        <v>1025</v>
      </c>
      <c r="J220" s="4">
        <v>5507</v>
      </c>
      <c r="K220" s="1">
        <v>43832</v>
      </c>
      <c r="L220" s="1">
        <v>43839</v>
      </c>
      <c r="M220" s="4">
        <v>9</v>
      </c>
      <c r="N220" s="7" cm="1">
        <f t="array" ref="N220">_xlfn.IFS(I220="Dell Inspiron 15",66989,I220="Lenovo IdeaPad Slim 3i",34690,I220="Mi NoteBook Ultra",57999,I220="Samsung Galaxy Go",36990,I220="Acer Aspire 3",38980)</f>
        <v>57999</v>
      </c>
      <c r="O220" s="5" t="s">
        <v>1030</v>
      </c>
    </row>
    <row r="221" spans="1:15" x14ac:dyDescent="0.35">
      <c r="A221" s="4">
        <v>20984</v>
      </c>
      <c r="B221" s="5" t="s">
        <v>170</v>
      </c>
      <c r="C221" s="5" t="s">
        <v>447</v>
      </c>
      <c r="D221" s="5" t="s">
        <v>1032</v>
      </c>
      <c r="E221" s="5" t="s">
        <v>1033</v>
      </c>
      <c r="F221" s="5" t="s">
        <v>1010</v>
      </c>
      <c r="G221" s="3" t="s">
        <v>1015</v>
      </c>
      <c r="H221" s="5" t="s">
        <v>448</v>
      </c>
      <c r="I221" s="5" t="s">
        <v>1026</v>
      </c>
      <c r="J221" s="4">
        <v>5298</v>
      </c>
      <c r="K221" s="1">
        <v>43863</v>
      </c>
      <c r="L221" s="1">
        <v>43865</v>
      </c>
      <c r="M221" s="4">
        <v>3</v>
      </c>
      <c r="N221" s="7" cm="1">
        <f t="array" ref="N221">_xlfn.IFS(I221="Dell Inspiron 15",66989,I221="Lenovo IdeaPad Slim 3i",34690,I221="Mi NoteBook Ultra",57999,I221="Samsung Galaxy Go",36990,I221="Acer Aspire 3",38980)</f>
        <v>36990</v>
      </c>
      <c r="O221" s="5" t="s">
        <v>1030</v>
      </c>
    </row>
    <row r="222" spans="1:15" x14ac:dyDescent="0.35">
      <c r="A222" s="4">
        <v>12617</v>
      </c>
      <c r="B222" s="5" t="s">
        <v>69</v>
      </c>
      <c r="C222" s="5" t="s">
        <v>152</v>
      </c>
      <c r="D222" s="5" t="s">
        <v>1032</v>
      </c>
      <c r="E222" s="5" t="s">
        <v>1035</v>
      </c>
      <c r="F222" s="5" t="s">
        <v>1012</v>
      </c>
      <c r="G222" s="3" t="s">
        <v>1017</v>
      </c>
      <c r="H222" s="5" t="s">
        <v>449</v>
      </c>
      <c r="I222" s="5" t="s">
        <v>1027</v>
      </c>
      <c r="J222" s="4">
        <v>4828</v>
      </c>
      <c r="K222" s="1">
        <v>43863</v>
      </c>
      <c r="L222" s="1">
        <v>43865</v>
      </c>
      <c r="M222" s="4">
        <v>2</v>
      </c>
      <c r="N222" s="7" cm="1">
        <f t="array" ref="N222">_xlfn.IFS(I222="Dell Inspiron 15",66989,I222="Lenovo IdeaPad Slim 3i",34690,I222="Mi NoteBook Ultra",57999,I222="Samsung Galaxy Go",36990,I222="Acer Aspire 3",38980)</f>
        <v>38980</v>
      </c>
      <c r="O222" s="5" t="s">
        <v>1030</v>
      </c>
    </row>
    <row r="223" spans="1:15" x14ac:dyDescent="0.35">
      <c r="A223" s="4">
        <v>19301</v>
      </c>
      <c r="B223" s="5" t="s">
        <v>450</v>
      </c>
      <c r="C223" s="5" t="s">
        <v>325</v>
      </c>
      <c r="D223" s="5" t="s">
        <v>1032</v>
      </c>
      <c r="E223" s="5" t="s">
        <v>1035</v>
      </c>
      <c r="F223" s="5" t="s">
        <v>1012</v>
      </c>
      <c r="G223" s="3" t="s">
        <v>1017</v>
      </c>
      <c r="H223" s="5" t="s">
        <v>451</v>
      </c>
      <c r="I223" s="5" t="s">
        <v>1023</v>
      </c>
      <c r="J223" s="4">
        <v>4914</v>
      </c>
      <c r="K223" s="1">
        <v>43905</v>
      </c>
      <c r="L223" s="1">
        <v>43905</v>
      </c>
      <c r="M223" s="4">
        <v>5</v>
      </c>
      <c r="N223" s="7" cm="1">
        <f t="array" ref="N223">_xlfn.IFS(I223="Dell Inspiron 15",66989,I223="Lenovo IdeaPad Slim 3i",34690,I223="Mi NoteBook Ultra",57999,I223="Samsung Galaxy Go",36990,I223="Acer Aspire 3",38980)</f>
        <v>66989</v>
      </c>
      <c r="O223" s="5" t="s">
        <v>1030</v>
      </c>
    </row>
    <row r="224" spans="1:15" x14ac:dyDescent="0.35">
      <c r="A224" s="4">
        <v>20845</v>
      </c>
      <c r="B224" s="5" t="s">
        <v>178</v>
      </c>
      <c r="C224" s="5" t="s">
        <v>385</v>
      </c>
      <c r="D224" s="5" t="s">
        <v>1032</v>
      </c>
      <c r="E224" s="5" t="s">
        <v>1036</v>
      </c>
      <c r="F224" s="5" t="s">
        <v>1013</v>
      </c>
      <c r="G224" s="3" t="s">
        <v>1018</v>
      </c>
      <c r="H224" s="5" t="s">
        <v>452</v>
      </c>
      <c r="I224" s="5" t="s">
        <v>1025</v>
      </c>
      <c r="J224" s="4">
        <v>4803</v>
      </c>
      <c r="K224" s="1">
        <v>43863</v>
      </c>
      <c r="L224" s="1">
        <v>43864</v>
      </c>
      <c r="M224" s="4">
        <v>10</v>
      </c>
      <c r="N224" s="7" cm="1">
        <f t="array" ref="N224">_xlfn.IFS(I224="Dell Inspiron 15",66989,I224="Lenovo IdeaPad Slim 3i",34690,I224="Mi NoteBook Ultra",57999,I224="Samsung Galaxy Go",36990,I224="Acer Aspire 3",38980)</f>
        <v>57999</v>
      </c>
      <c r="O224" s="5" t="s">
        <v>1030</v>
      </c>
    </row>
    <row r="225" spans="1:15" x14ac:dyDescent="0.35">
      <c r="A225" s="4">
        <v>13529</v>
      </c>
      <c r="B225" s="5" t="s">
        <v>408</v>
      </c>
      <c r="C225" s="5" t="s">
        <v>184</v>
      </c>
      <c r="D225" s="5" t="s">
        <v>1032</v>
      </c>
      <c r="E225" s="5" t="s">
        <v>1033</v>
      </c>
      <c r="F225" s="5" t="s">
        <v>1010</v>
      </c>
      <c r="G225" s="3" t="s">
        <v>1015</v>
      </c>
      <c r="H225" s="5" t="s">
        <v>453</v>
      </c>
      <c r="I225" s="5" t="s">
        <v>1027</v>
      </c>
      <c r="J225" s="4">
        <v>5009</v>
      </c>
      <c r="K225" s="1">
        <v>43920</v>
      </c>
      <c r="L225" s="1">
        <v>43923</v>
      </c>
      <c r="M225" s="4">
        <v>10</v>
      </c>
      <c r="N225" s="7" cm="1">
        <f t="array" ref="N225">_xlfn.IFS(I225="Dell Inspiron 15",66989,I225="Lenovo IdeaPad Slim 3i",34690,I225="Mi NoteBook Ultra",57999,I225="Samsung Galaxy Go",36990,I225="Acer Aspire 3",38980)</f>
        <v>38980</v>
      </c>
      <c r="O225" s="5" t="s">
        <v>1030</v>
      </c>
    </row>
    <row r="226" spans="1:15" x14ac:dyDescent="0.35">
      <c r="A226" s="4">
        <v>19388</v>
      </c>
      <c r="B226" s="5" t="s">
        <v>454</v>
      </c>
      <c r="C226" s="5" t="s">
        <v>208</v>
      </c>
      <c r="D226" s="5" t="s">
        <v>1032</v>
      </c>
      <c r="E226" s="5" t="s">
        <v>1036</v>
      </c>
      <c r="F226" s="5" t="s">
        <v>1013</v>
      </c>
      <c r="G226" s="3" t="s">
        <v>1018</v>
      </c>
      <c r="H226" s="5" t="s">
        <v>455</v>
      </c>
      <c r="I226" s="5" t="s">
        <v>1023</v>
      </c>
      <c r="J226" s="4">
        <v>5257</v>
      </c>
      <c r="K226" s="1">
        <v>43985</v>
      </c>
      <c r="L226" s="1">
        <v>43990</v>
      </c>
      <c r="M226" s="4">
        <v>3</v>
      </c>
      <c r="N226" s="7" cm="1">
        <f t="array" ref="N226">_xlfn.IFS(I226="Dell Inspiron 15",66989,I226="Lenovo IdeaPad Slim 3i",34690,I226="Mi NoteBook Ultra",57999,I226="Samsung Galaxy Go",36990,I226="Acer Aspire 3",38980)</f>
        <v>66989</v>
      </c>
      <c r="O226" s="5" t="s">
        <v>1030</v>
      </c>
    </row>
    <row r="227" spans="1:15" x14ac:dyDescent="0.35">
      <c r="A227" s="4">
        <v>18808</v>
      </c>
      <c r="B227" s="5" t="s">
        <v>95</v>
      </c>
      <c r="C227" s="5" t="s">
        <v>75</v>
      </c>
      <c r="D227" s="5" t="s">
        <v>1032</v>
      </c>
      <c r="E227" s="5" t="s">
        <v>1033</v>
      </c>
      <c r="F227" s="5" t="s">
        <v>1010</v>
      </c>
      <c r="G227" s="3" t="s">
        <v>1015</v>
      </c>
      <c r="H227" s="5" t="s">
        <v>456</v>
      </c>
      <c r="I227" s="5" t="s">
        <v>1024</v>
      </c>
      <c r="J227" s="4">
        <v>5326</v>
      </c>
      <c r="K227" s="1">
        <v>43912</v>
      </c>
      <c r="L227" s="1">
        <v>43913</v>
      </c>
      <c r="M227" s="4">
        <v>2</v>
      </c>
      <c r="N227" s="7" cm="1">
        <f t="array" ref="N227">_xlfn.IFS(I227="Dell Inspiron 15",66989,I227="Lenovo IdeaPad Slim 3i",34690,I227="Mi NoteBook Ultra",57999,I227="Samsung Galaxy Go",36990,I227="Acer Aspire 3",38980)</f>
        <v>34690</v>
      </c>
      <c r="O227" s="5" t="s">
        <v>1030</v>
      </c>
    </row>
    <row r="228" spans="1:15" x14ac:dyDescent="0.35">
      <c r="A228" s="4">
        <v>25278</v>
      </c>
      <c r="B228" s="5" t="s">
        <v>93</v>
      </c>
      <c r="C228" s="5" t="s">
        <v>215</v>
      </c>
      <c r="D228" s="5" t="s">
        <v>1032</v>
      </c>
      <c r="E228" s="5" t="s">
        <v>1034</v>
      </c>
      <c r="F228" s="5" t="s">
        <v>1011</v>
      </c>
      <c r="G228" s="3" t="s">
        <v>1016</v>
      </c>
      <c r="H228" s="5" t="s">
        <v>457</v>
      </c>
      <c r="I228" s="5" t="s">
        <v>1026</v>
      </c>
      <c r="J228" s="4">
        <v>5106</v>
      </c>
      <c r="K228" s="1">
        <v>43912</v>
      </c>
      <c r="L228" s="1">
        <v>43915</v>
      </c>
      <c r="M228" s="4">
        <v>9</v>
      </c>
      <c r="N228" s="7" cm="1">
        <f t="array" ref="N228">_xlfn.IFS(I228="Dell Inspiron 15",66989,I228="Lenovo IdeaPad Slim 3i",34690,I228="Mi NoteBook Ultra",57999,I228="Samsung Galaxy Go",36990,I228="Acer Aspire 3",38980)</f>
        <v>36990</v>
      </c>
      <c r="O228" s="5" t="s">
        <v>1030</v>
      </c>
    </row>
    <row r="229" spans="1:15" x14ac:dyDescent="0.35">
      <c r="A229" s="4">
        <v>19105</v>
      </c>
      <c r="B229" s="5" t="s">
        <v>435</v>
      </c>
      <c r="C229" s="5" t="s">
        <v>168</v>
      </c>
      <c r="D229" s="5" t="s">
        <v>1032</v>
      </c>
      <c r="E229" s="5" t="s">
        <v>1033</v>
      </c>
      <c r="F229" s="5" t="s">
        <v>1010</v>
      </c>
      <c r="G229" s="3" t="s">
        <v>1015</v>
      </c>
      <c r="H229" s="5" t="s">
        <v>458</v>
      </c>
      <c r="I229" s="5" t="s">
        <v>1023</v>
      </c>
      <c r="J229" s="4">
        <v>4554</v>
      </c>
      <c r="K229" s="1">
        <v>43968</v>
      </c>
      <c r="L229" s="1">
        <v>43969</v>
      </c>
      <c r="M229" s="4">
        <v>4</v>
      </c>
      <c r="N229" s="7" cm="1">
        <f t="array" ref="N229">_xlfn.IFS(I229="Dell Inspiron 15",66989,I229="Lenovo IdeaPad Slim 3i",34690,I229="Mi NoteBook Ultra",57999,I229="Samsung Galaxy Go",36990,I229="Acer Aspire 3",38980)</f>
        <v>66989</v>
      </c>
      <c r="O229" s="5" t="s">
        <v>1030</v>
      </c>
    </row>
    <row r="230" spans="1:15" x14ac:dyDescent="0.35">
      <c r="A230" s="4">
        <v>18503</v>
      </c>
      <c r="B230" s="5" t="s">
        <v>240</v>
      </c>
      <c r="C230" s="5" t="s">
        <v>218</v>
      </c>
      <c r="D230" s="5" t="s">
        <v>1032</v>
      </c>
      <c r="E230" s="5" t="s">
        <v>1035</v>
      </c>
      <c r="F230" s="5" t="s">
        <v>1012</v>
      </c>
      <c r="G230" s="3" t="s">
        <v>1017</v>
      </c>
      <c r="H230" s="5" t="s">
        <v>459</v>
      </c>
      <c r="I230" s="5" t="s">
        <v>1027</v>
      </c>
      <c r="J230" s="4">
        <v>5373</v>
      </c>
      <c r="K230" s="1">
        <v>43879</v>
      </c>
      <c r="L230" s="1">
        <v>43881</v>
      </c>
      <c r="M230" s="4">
        <v>9</v>
      </c>
      <c r="N230" s="7" cm="1">
        <f t="array" ref="N230">_xlfn.IFS(I230="Dell Inspiron 15",66989,I230="Lenovo IdeaPad Slim 3i",34690,I230="Mi NoteBook Ultra",57999,I230="Samsung Galaxy Go",36990,I230="Acer Aspire 3",38980)</f>
        <v>38980</v>
      </c>
      <c r="O230" s="5" t="s">
        <v>1030</v>
      </c>
    </row>
    <row r="231" spans="1:15" x14ac:dyDescent="0.35">
      <c r="A231" s="4">
        <v>14291</v>
      </c>
      <c r="B231" s="5" t="s">
        <v>460</v>
      </c>
      <c r="C231" s="5" t="s">
        <v>166</v>
      </c>
      <c r="D231" s="5" t="s">
        <v>1032</v>
      </c>
      <c r="E231" s="5" t="s">
        <v>1033</v>
      </c>
      <c r="F231" s="5" t="s">
        <v>1010</v>
      </c>
      <c r="G231" s="3" t="s">
        <v>1015</v>
      </c>
      <c r="H231" s="5" t="s">
        <v>461</v>
      </c>
      <c r="I231" s="5" t="s">
        <v>1025</v>
      </c>
      <c r="J231" s="4">
        <v>4955</v>
      </c>
      <c r="K231" s="1">
        <v>43894</v>
      </c>
      <c r="L231" s="1">
        <v>43896</v>
      </c>
      <c r="M231" s="4">
        <v>8</v>
      </c>
      <c r="N231" s="7" cm="1">
        <f t="array" ref="N231">_xlfn.IFS(I231="Dell Inspiron 15",66989,I231="Lenovo IdeaPad Slim 3i",34690,I231="Mi NoteBook Ultra",57999,I231="Samsung Galaxy Go",36990,I231="Acer Aspire 3",38980)</f>
        <v>57999</v>
      </c>
      <c r="O231" s="5" t="s">
        <v>1030</v>
      </c>
    </row>
    <row r="232" spans="1:15" x14ac:dyDescent="0.35">
      <c r="A232" s="4">
        <v>14310</v>
      </c>
      <c r="B232" s="5" t="s">
        <v>32</v>
      </c>
      <c r="C232" s="5" t="s">
        <v>462</v>
      </c>
      <c r="D232" s="5" t="s">
        <v>1032</v>
      </c>
      <c r="E232" s="5" t="s">
        <v>1034</v>
      </c>
      <c r="F232" s="5" t="s">
        <v>1011</v>
      </c>
      <c r="G232" s="3" t="s">
        <v>1016</v>
      </c>
      <c r="H232" s="5" t="s">
        <v>463</v>
      </c>
      <c r="I232" s="5" t="s">
        <v>1026</v>
      </c>
      <c r="J232" s="4">
        <v>4945</v>
      </c>
      <c r="K232" s="1">
        <v>43968</v>
      </c>
      <c r="L232" s="1">
        <v>43970</v>
      </c>
      <c r="M232" s="4">
        <v>6</v>
      </c>
      <c r="N232" s="7" cm="1">
        <f t="array" ref="N232">_xlfn.IFS(I232="Dell Inspiron 15",66989,I232="Lenovo IdeaPad Slim 3i",34690,I232="Mi NoteBook Ultra",57999,I232="Samsung Galaxy Go",36990,I232="Acer Aspire 3",38980)</f>
        <v>36990</v>
      </c>
      <c r="O232" s="5" t="s">
        <v>1030</v>
      </c>
    </row>
    <row r="233" spans="1:15" x14ac:dyDescent="0.35">
      <c r="A233" s="4">
        <v>15266</v>
      </c>
      <c r="B233" s="5" t="s">
        <v>220</v>
      </c>
      <c r="C233" s="5" t="s">
        <v>102</v>
      </c>
      <c r="D233" s="5" t="s">
        <v>1032</v>
      </c>
      <c r="E233" s="5" t="s">
        <v>1033</v>
      </c>
      <c r="F233" s="5" t="s">
        <v>1010</v>
      </c>
      <c r="G233" s="3" t="s">
        <v>1015</v>
      </c>
      <c r="H233" s="5" t="s">
        <v>464</v>
      </c>
      <c r="I233" s="5" t="s">
        <v>1027</v>
      </c>
      <c r="J233" s="4">
        <v>4838</v>
      </c>
      <c r="K233" s="1">
        <v>43968</v>
      </c>
      <c r="L233" s="1">
        <v>43969</v>
      </c>
      <c r="M233" s="4">
        <v>5</v>
      </c>
      <c r="N233" s="7" cm="1">
        <f t="array" ref="N233">_xlfn.IFS(I233="Dell Inspiron 15",66989,I233="Lenovo IdeaPad Slim 3i",34690,I233="Mi NoteBook Ultra",57999,I233="Samsung Galaxy Go",36990,I233="Acer Aspire 3",38980)</f>
        <v>38980</v>
      </c>
      <c r="O233" s="5" t="s">
        <v>1030</v>
      </c>
    </row>
    <row r="234" spans="1:15" x14ac:dyDescent="0.35">
      <c r="A234" s="4">
        <v>18743</v>
      </c>
      <c r="B234" s="5" t="s">
        <v>465</v>
      </c>
      <c r="C234" s="5" t="s">
        <v>259</v>
      </c>
      <c r="D234" s="5" t="s">
        <v>1032</v>
      </c>
      <c r="E234" s="5" t="s">
        <v>1035</v>
      </c>
      <c r="F234" s="5" t="s">
        <v>1012</v>
      </c>
      <c r="G234" s="3" t="s">
        <v>1017</v>
      </c>
      <c r="H234" s="5" t="s">
        <v>466</v>
      </c>
      <c r="I234" s="5" t="s">
        <v>1023</v>
      </c>
      <c r="J234" s="4">
        <v>4714</v>
      </c>
      <c r="K234" s="1">
        <v>43989</v>
      </c>
      <c r="L234" s="1">
        <v>43991</v>
      </c>
      <c r="M234" s="4">
        <v>6</v>
      </c>
      <c r="N234" s="7" cm="1">
        <f t="array" ref="N234">_xlfn.IFS(I234="Dell Inspiron 15",66989,I234="Lenovo IdeaPad Slim 3i",34690,I234="Mi NoteBook Ultra",57999,I234="Samsung Galaxy Go",36990,I234="Acer Aspire 3",38980)</f>
        <v>66989</v>
      </c>
      <c r="O234" s="5" t="s">
        <v>1030</v>
      </c>
    </row>
    <row r="235" spans="1:15" x14ac:dyDescent="0.35">
      <c r="A235" s="4">
        <v>13558</v>
      </c>
      <c r="B235" s="5" t="s">
        <v>205</v>
      </c>
      <c r="C235" s="5" t="s">
        <v>36</v>
      </c>
      <c r="D235" s="5" t="s">
        <v>1032</v>
      </c>
      <c r="E235" s="5" t="s">
        <v>1035</v>
      </c>
      <c r="F235" s="5" t="s">
        <v>1012</v>
      </c>
      <c r="G235" s="3" t="s">
        <v>1017</v>
      </c>
      <c r="H235" s="5" t="s">
        <v>467</v>
      </c>
      <c r="I235" s="5" t="s">
        <v>1025</v>
      </c>
      <c r="J235" s="4">
        <v>4622</v>
      </c>
      <c r="K235" s="1">
        <v>43954</v>
      </c>
      <c r="L235" s="1">
        <v>43956</v>
      </c>
      <c r="M235" s="4">
        <v>4</v>
      </c>
      <c r="N235" s="7" cm="1">
        <f t="array" ref="N235">_xlfn.IFS(I235="Dell Inspiron 15",66989,I235="Lenovo IdeaPad Slim 3i",34690,I235="Mi NoteBook Ultra",57999,I235="Samsung Galaxy Go",36990,I235="Acer Aspire 3",38980)</f>
        <v>57999</v>
      </c>
      <c r="O235" s="5" t="s">
        <v>1030</v>
      </c>
    </row>
    <row r="236" spans="1:15" x14ac:dyDescent="0.35">
      <c r="A236" s="4">
        <v>17384</v>
      </c>
      <c r="B236" s="5" t="s">
        <v>101</v>
      </c>
      <c r="C236" s="5" t="s">
        <v>75</v>
      </c>
      <c r="D236" s="5" t="s">
        <v>1032</v>
      </c>
      <c r="E236" s="5" t="s">
        <v>1035</v>
      </c>
      <c r="F236" s="5" t="s">
        <v>1012</v>
      </c>
      <c r="G236" s="3" t="s">
        <v>1017</v>
      </c>
      <c r="H236" s="5" t="s">
        <v>468</v>
      </c>
      <c r="I236" s="5" t="s">
        <v>1027</v>
      </c>
      <c r="J236" s="4">
        <v>4837</v>
      </c>
      <c r="K236" s="1">
        <v>43954</v>
      </c>
      <c r="L236" s="1">
        <v>43956</v>
      </c>
      <c r="M236" s="4">
        <v>3</v>
      </c>
      <c r="N236" s="7" cm="1">
        <f t="array" ref="N236">_xlfn.IFS(I236="Dell Inspiron 15",66989,I236="Lenovo IdeaPad Slim 3i",34690,I236="Mi NoteBook Ultra",57999,I236="Samsung Galaxy Go",36990,I236="Acer Aspire 3",38980)</f>
        <v>38980</v>
      </c>
      <c r="O236" s="5" t="s">
        <v>1030</v>
      </c>
    </row>
    <row r="237" spans="1:15" x14ac:dyDescent="0.35">
      <c r="A237" s="4">
        <v>17157</v>
      </c>
      <c r="B237" s="5" t="s">
        <v>35</v>
      </c>
      <c r="C237" s="5" t="s">
        <v>469</v>
      </c>
      <c r="D237" s="5" t="s">
        <v>1032</v>
      </c>
      <c r="E237" s="5" t="s">
        <v>1035</v>
      </c>
      <c r="F237" s="5" t="s">
        <v>1012</v>
      </c>
      <c r="G237" s="3" t="s">
        <v>1017</v>
      </c>
      <c r="H237" s="5" t="s">
        <v>470</v>
      </c>
      <c r="I237" s="5" t="s">
        <v>1023</v>
      </c>
      <c r="J237" s="4">
        <v>4591</v>
      </c>
      <c r="K237" s="1">
        <v>43954</v>
      </c>
      <c r="L237" s="1">
        <v>43956</v>
      </c>
      <c r="M237" s="4">
        <v>8</v>
      </c>
      <c r="N237" s="7" cm="1">
        <f t="array" ref="N237">_xlfn.IFS(I237="Dell Inspiron 15",66989,I237="Lenovo IdeaPad Slim 3i",34690,I237="Mi NoteBook Ultra",57999,I237="Samsung Galaxy Go",36990,I237="Acer Aspire 3",38980)</f>
        <v>66989</v>
      </c>
      <c r="O237" s="5" t="s">
        <v>1030</v>
      </c>
    </row>
    <row r="238" spans="1:15" x14ac:dyDescent="0.35">
      <c r="A238" s="4">
        <v>24122</v>
      </c>
      <c r="B238" s="5" t="s">
        <v>60</v>
      </c>
      <c r="C238" s="5" t="s">
        <v>106</v>
      </c>
      <c r="D238" s="5" t="s">
        <v>1032</v>
      </c>
      <c r="E238" s="5" t="s">
        <v>1036</v>
      </c>
      <c r="F238" s="5" t="s">
        <v>1013</v>
      </c>
      <c r="G238" s="3" t="s">
        <v>1018</v>
      </c>
      <c r="H238" s="5" t="s">
        <v>471</v>
      </c>
      <c r="I238" s="5" t="s">
        <v>1024</v>
      </c>
      <c r="J238" s="4">
        <v>5407</v>
      </c>
      <c r="K238" s="1">
        <v>43954</v>
      </c>
      <c r="L238" s="1">
        <v>43955</v>
      </c>
      <c r="M238" s="4">
        <v>8</v>
      </c>
      <c r="N238" s="7" cm="1">
        <f t="array" ref="N238">_xlfn.IFS(I238="Dell Inspiron 15",66989,I238="Lenovo IdeaPad Slim 3i",34690,I238="Mi NoteBook Ultra",57999,I238="Samsung Galaxy Go",36990,I238="Acer Aspire 3",38980)</f>
        <v>34690</v>
      </c>
      <c r="O238" s="5" t="s">
        <v>1030</v>
      </c>
    </row>
    <row r="239" spans="1:15" x14ac:dyDescent="0.35">
      <c r="A239" s="4">
        <v>15921</v>
      </c>
      <c r="B239" s="5" t="s">
        <v>246</v>
      </c>
      <c r="C239" s="5" t="s">
        <v>472</v>
      </c>
      <c r="D239" s="5" t="s">
        <v>1032</v>
      </c>
      <c r="E239" s="5" t="s">
        <v>1033</v>
      </c>
      <c r="F239" s="5" t="s">
        <v>1010</v>
      </c>
      <c r="G239" s="3" t="s">
        <v>1015</v>
      </c>
      <c r="H239" s="5" t="s">
        <v>473</v>
      </c>
      <c r="I239" s="5" t="s">
        <v>1023</v>
      </c>
      <c r="J239" s="4">
        <v>5412</v>
      </c>
      <c r="K239" s="1">
        <v>44004</v>
      </c>
      <c r="L239" s="1">
        <v>44006</v>
      </c>
      <c r="M239" s="4">
        <v>2</v>
      </c>
      <c r="N239" s="7" cm="1">
        <f t="array" ref="N239">_xlfn.IFS(I239="Dell Inspiron 15",66989,I239="Lenovo IdeaPad Slim 3i",34690,I239="Mi NoteBook Ultra",57999,I239="Samsung Galaxy Go",36990,I239="Acer Aspire 3",38980)</f>
        <v>66989</v>
      </c>
      <c r="O239" s="5" t="s">
        <v>1030</v>
      </c>
    </row>
    <row r="240" spans="1:15" x14ac:dyDescent="0.35">
      <c r="A240" s="4">
        <v>20003</v>
      </c>
      <c r="B240" s="5" t="s">
        <v>474</v>
      </c>
      <c r="C240" s="5" t="s">
        <v>475</v>
      </c>
      <c r="D240" s="5" t="s">
        <v>1032</v>
      </c>
      <c r="E240" s="5" t="s">
        <v>1034</v>
      </c>
      <c r="F240" s="5" t="s">
        <v>1011</v>
      </c>
      <c r="G240" s="3" t="s">
        <v>1016</v>
      </c>
      <c r="H240" s="5" t="s">
        <v>476</v>
      </c>
      <c r="I240" s="5" t="s">
        <v>1024</v>
      </c>
      <c r="J240" s="4">
        <v>5346</v>
      </c>
      <c r="K240" s="1">
        <v>43927</v>
      </c>
      <c r="L240" s="1">
        <v>43928</v>
      </c>
      <c r="M240" s="4">
        <v>1</v>
      </c>
      <c r="N240" s="7" cm="1">
        <f t="array" ref="N240">_xlfn.IFS(I240="Dell Inspiron 15",66989,I240="Lenovo IdeaPad Slim 3i",34690,I240="Mi NoteBook Ultra",57999,I240="Samsung Galaxy Go",36990,I240="Acer Aspire 3",38980)</f>
        <v>34690</v>
      </c>
      <c r="O240" s="5" t="s">
        <v>1030</v>
      </c>
    </row>
    <row r="241" spans="1:15" x14ac:dyDescent="0.35">
      <c r="A241" s="4">
        <v>12568</v>
      </c>
      <c r="B241" s="5" t="s">
        <v>477</v>
      </c>
      <c r="C241" s="5" t="s">
        <v>396</v>
      </c>
      <c r="D241" s="5" t="s">
        <v>1032</v>
      </c>
      <c r="E241" s="5" t="s">
        <v>1033</v>
      </c>
      <c r="F241" s="5" t="s">
        <v>1010</v>
      </c>
      <c r="G241" s="6">
        <v>123456</v>
      </c>
      <c r="H241" s="5" t="s">
        <v>478</v>
      </c>
      <c r="I241" s="5" t="s">
        <v>1025</v>
      </c>
      <c r="J241" s="4">
        <v>5124</v>
      </c>
      <c r="K241" s="1">
        <v>44004</v>
      </c>
      <c r="L241" s="1">
        <v>44006</v>
      </c>
      <c r="M241" s="4">
        <v>8</v>
      </c>
      <c r="N241" s="7" cm="1">
        <f t="array" ref="N241">_xlfn.IFS(I241="Dell Inspiron 15",66989,I241="Lenovo IdeaPad Slim 3i",34690,I241="Mi NoteBook Ultra",57999,I241="Samsung Galaxy Go",36990,I241="Acer Aspire 3",38980)</f>
        <v>57999</v>
      </c>
      <c r="O241" s="5" t="s">
        <v>1030</v>
      </c>
    </row>
    <row r="242" spans="1:15" x14ac:dyDescent="0.35">
      <c r="A242" s="4">
        <v>23389</v>
      </c>
      <c r="B242" s="5" t="s">
        <v>334</v>
      </c>
      <c r="C242" s="5" t="s">
        <v>200</v>
      </c>
      <c r="D242" s="5" t="s">
        <v>1032</v>
      </c>
      <c r="E242" s="5" t="s">
        <v>1035</v>
      </c>
      <c r="F242" s="5" t="s">
        <v>1012</v>
      </c>
      <c r="G242" s="3" t="s">
        <v>1017</v>
      </c>
      <c r="H242" s="5" t="s">
        <v>479</v>
      </c>
      <c r="I242" s="5" t="s">
        <v>1026</v>
      </c>
      <c r="J242" s="4">
        <v>5436</v>
      </c>
      <c r="K242" s="1">
        <v>44004</v>
      </c>
      <c r="L242" s="1">
        <v>44005</v>
      </c>
      <c r="M242" s="4">
        <v>8</v>
      </c>
      <c r="N242" s="7" cm="1">
        <f t="array" ref="N242">_xlfn.IFS(I242="Dell Inspiron 15",66989,I242="Lenovo IdeaPad Slim 3i",34690,I242="Mi NoteBook Ultra",57999,I242="Samsung Galaxy Go",36990,I242="Acer Aspire 3",38980)</f>
        <v>36990</v>
      </c>
      <c r="O242" s="5" t="s">
        <v>1030</v>
      </c>
    </row>
    <row r="243" spans="1:15" x14ac:dyDescent="0.35">
      <c r="A243" s="4">
        <v>16937</v>
      </c>
      <c r="B243" s="5" t="s">
        <v>290</v>
      </c>
      <c r="C243" s="5" t="s">
        <v>480</v>
      </c>
      <c r="D243" s="5" t="s">
        <v>1032</v>
      </c>
      <c r="E243" s="5" t="s">
        <v>1035</v>
      </c>
      <c r="F243" s="5" t="s">
        <v>1012</v>
      </c>
      <c r="G243" s="3" t="s">
        <v>1017</v>
      </c>
      <c r="H243" s="5" t="s">
        <v>481</v>
      </c>
      <c r="I243" s="5" t="s">
        <v>1027</v>
      </c>
      <c r="J243" s="4">
        <v>5496</v>
      </c>
      <c r="K243" s="1">
        <v>43927</v>
      </c>
      <c r="L243" s="1">
        <v>43928</v>
      </c>
      <c r="M243" s="4">
        <v>10</v>
      </c>
      <c r="N243" s="7" cm="1">
        <f t="array" ref="N243">_xlfn.IFS(I243="Dell Inspiron 15",66989,I243="Lenovo IdeaPad Slim 3i",34690,I243="Mi NoteBook Ultra",57999,I243="Samsung Galaxy Go",36990,I243="Acer Aspire 3",38980)</f>
        <v>38980</v>
      </c>
      <c r="O243" s="5" t="s">
        <v>1030</v>
      </c>
    </row>
    <row r="244" spans="1:15" x14ac:dyDescent="0.35">
      <c r="A244" s="4">
        <v>23302</v>
      </c>
      <c r="B244" s="5" t="s">
        <v>482</v>
      </c>
      <c r="C244" s="5" t="s">
        <v>174</v>
      </c>
      <c r="D244" s="5" t="s">
        <v>1032</v>
      </c>
      <c r="E244" s="5" t="s">
        <v>1036</v>
      </c>
      <c r="F244" s="5" t="s">
        <v>1013</v>
      </c>
      <c r="G244" s="3" t="s">
        <v>1018</v>
      </c>
      <c r="H244" s="5" t="s">
        <v>483</v>
      </c>
      <c r="I244" s="5" t="s">
        <v>1023</v>
      </c>
      <c r="J244" s="4">
        <v>5307</v>
      </c>
      <c r="K244" s="1">
        <v>44004</v>
      </c>
      <c r="L244" s="1">
        <v>44005</v>
      </c>
      <c r="M244" s="4">
        <v>1</v>
      </c>
      <c r="N244" s="7" cm="1">
        <f t="array" ref="N244">_xlfn.IFS(I244="Dell Inspiron 15",66989,I244="Lenovo IdeaPad Slim 3i",34690,I244="Mi NoteBook Ultra",57999,I244="Samsung Galaxy Go",36990,I244="Acer Aspire 3",38980)</f>
        <v>66989</v>
      </c>
      <c r="O244" s="5" t="s">
        <v>1030</v>
      </c>
    </row>
    <row r="245" spans="1:15" x14ac:dyDescent="0.35">
      <c r="A245" s="4">
        <v>23310</v>
      </c>
      <c r="B245" s="5" t="s">
        <v>32</v>
      </c>
      <c r="C245" s="5" t="s">
        <v>484</v>
      </c>
      <c r="D245" s="5" t="s">
        <v>1032</v>
      </c>
      <c r="E245" s="5" t="s">
        <v>1033</v>
      </c>
      <c r="F245" s="5" t="s">
        <v>1010</v>
      </c>
      <c r="G245" s="3" t="s">
        <v>1015</v>
      </c>
      <c r="H245" s="5" t="s">
        <v>485</v>
      </c>
      <c r="I245" s="5" t="s">
        <v>1025</v>
      </c>
      <c r="J245" s="4">
        <v>5297</v>
      </c>
      <c r="K245" s="1">
        <v>43833</v>
      </c>
      <c r="L245" s="1">
        <v>43834</v>
      </c>
      <c r="M245" s="4">
        <v>4</v>
      </c>
      <c r="N245" s="7" cm="1">
        <f t="array" ref="N245">_xlfn.IFS(I245="Dell Inspiron 15",66989,I245="Lenovo IdeaPad Slim 3i",34690,I245="Mi NoteBook Ultra",57999,I245="Samsung Galaxy Go",36990,I245="Acer Aspire 3",38980)</f>
        <v>57999</v>
      </c>
      <c r="O245" s="5" t="s">
        <v>1030</v>
      </c>
    </row>
    <row r="246" spans="1:15" x14ac:dyDescent="0.35">
      <c r="A246" s="4">
        <v>25467</v>
      </c>
      <c r="B246" s="5" t="s">
        <v>203</v>
      </c>
      <c r="C246" s="5" t="s">
        <v>30</v>
      </c>
      <c r="D246" s="5" t="s">
        <v>1032</v>
      </c>
      <c r="E246" s="5" t="s">
        <v>1034</v>
      </c>
      <c r="F246" s="5" t="s">
        <v>1011</v>
      </c>
      <c r="G246" s="3" t="s">
        <v>1016</v>
      </c>
      <c r="H246" s="5" t="s">
        <v>486</v>
      </c>
      <c r="I246" s="5" t="s">
        <v>1027</v>
      </c>
      <c r="J246" s="4">
        <v>4723</v>
      </c>
      <c r="K246" s="1">
        <v>43925</v>
      </c>
      <c r="L246" s="1">
        <v>43927</v>
      </c>
      <c r="M246" s="4">
        <v>1</v>
      </c>
      <c r="N246" s="7" cm="1">
        <f t="array" ref="N246">_xlfn.IFS(I246="Dell Inspiron 15",66989,I246="Lenovo IdeaPad Slim 3i",34690,I246="Mi NoteBook Ultra",57999,I246="Samsung Galaxy Go",36990,I246="Acer Aspire 3",38980)</f>
        <v>38980</v>
      </c>
      <c r="O246" s="5" t="s">
        <v>1030</v>
      </c>
    </row>
    <row r="247" spans="1:15" x14ac:dyDescent="0.35">
      <c r="A247" s="4">
        <v>21592</v>
      </c>
      <c r="B247" s="5" t="s">
        <v>373</v>
      </c>
      <c r="C247" s="5" t="s">
        <v>487</v>
      </c>
      <c r="D247" s="5" t="s">
        <v>1032</v>
      </c>
      <c r="E247" s="5" t="s">
        <v>1033</v>
      </c>
      <c r="F247" s="5" t="s">
        <v>1010</v>
      </c>
      <c r="G247" s="3" t="s">
        <v>1015</v>
      </c>
      <c r="H247" s="5" t="s">
        <v>488</v>
      </c>
      <c r="I247" s="5" t="s">
        <v>1023</v>
      </c>
      <c r="J247" s="4">
        <v>5360</v>
      </c>
      <c r="K247" s="1">
        <v>43925</v>
      </c>
      <c r="L247" s="1">
        <v>43927</v>
      </c>
      <c r="M247" s="4">
        <v>2</v>
      </c>
      <c r="N247" s="7" cm="1">
        <f t="array" ref="N247">_xlfn.IFS(I247="Dell Inspiron 15",66989,I247="Lenovo IdeaPad Slim 3i",34690,I247="Mi NoteBook Ultra",57999,I247="Samsung Galaxy Go",36990,I247="Acer Aspire 3",38980)</f>
        <v>66989</v>
      </c>
      <c r="O247" s="5" t="s">
        <v>1030</v>
      </c>
    </row>
    <row r="248" spans="1:15" x14ac:dyDescent="0.35">
      <c r="A248" s="4">
        <v>19207</v>
      </c>
      <c r="B248" s="5" t="s">
        <v>293</v>
      </c>
      <c r="C248" s="5" t="s">
        <v>489</v>
      </c>
      <c r="D248" s="5" t="s">
        <v>1032</v>
      </c>
      <c r="E248" s="5" t="s">
        <v>1035</v>
      </c>
      <c r="F248" s="5" t="s">
        <v>1012</v>
      </c>
      <c r="G248" s="3" t="s">
        <v>1017</v>
      </c>
      <c r="H248" s="5" t="s">
        <v>490</v>
      </c>
      <c r="I248" s="5" t="s">
        <v>1024</v>
      </c>
      <c r="J248" s="4">
        <v>5055</v>
      </c>
      <c r="K248" s="1">
        <v>43930</v>
      </c>
      <c r="L248" s="1">
        <v>43932</v>
      </c>
      <c r="M248" s="4">
        <v>1</v>
      </c>
      <c r="N248" s="7" cm="1">
        <f t="array" ref="N248">_xlfn.IFS(I248="Dell Inspiron 15",66989,I248="Lenovo IdeaPad Slim 3i",34690,I248="Mi NoteBook Ultra",57999,I248="Samsung Galaxy Go",36990,I248="Acer Aspire 3",38980)</f>
        <v>34690</v>
      </c>
      <c r="O248" s="5" t="s">
        <v>1030</v>
      </c>
    </row>
    <row r="249" spans="1:15" x14ac:dyDescent="0.35">
      <c r="A249" s="4">
        <v>14591</v>
      </c>
      <c r="B249" s="5" t="s">
        <v>236</v>
      </c>
      <c r="C249" s="5" t="s">
        <v>162</v>
      </c>
      <c r="D249" s="5" t="s">
        <v>1032</v>
      </c>
      <c r="E249" s="5" t="s">
        <v>1035</v>
      </c>
      <c r="F249" s="5" t="s">
        <v>1012</v>
      </c>
      <c r="G249" s="3" t="s">
        <v>1017</v>
      </c>
      <c r="H249" s="5" t="s">
        <v>491</v>
      </c>
      <c r="I249" s="5" t="s">
        <v>1026</v>
      </c>
      <c r="J249" s="4">
        <v>5136</v>
      </c>
      <c r="K249" s="1">
        <v>43833</v>
      </c>
      <c r="L249" s="1">
        <v>43834</v>
      </c>
      <c r="M249" s="4">
        <v>3</v>
      </c>
      <c r="N249" s="7" cm="1">
        <f t="array" ref="N249">_xlfn.IFS(I249="Dell Inspiron 15",66989,I249="Lenovo IdeaPad Slim 3i",34690,I249="Mi NoteBook Ultra",57999,I249="Samsung Galaxy Go",36990,I249="Acer Aspire 3",38980)</f>
        <v>36990</v>
      </c>
      <c r="O249" s="5" t="s">
        <v>1030</v>
      </c>
    </row>
    <row r="250" spans="1:15" x14ac:dyDescent="0.35">
      <c r="A250" s="4">
        <v>24580</v>
      </c>
      <c r="B250" s="5" t="s">
        <v>156</v>
      </c>
      <c r="C250" s="5" t="s">
        <v>30</v>
      </c>
      <c r="D250" s="5" t="s">
        <v>1032</v>
      </c>
      <c r="E250" s="5" t="s">
        <v>1035</v>
      </c>
      <c r="F250" s="5" t="s">
        <v>1012</v>
      </c>
      <c r="G250" s="3" t="s">
        <v>1017</v>
      </c>
      <c r="H250" s="5" t="s">
        <v>492</v>
      </c>
      <c r="I250" s="5" t="s">
        <v>1023</v>
      </c>
      <c r="J250" s="4">
        <v>4543</v>
      </c>
      <c r="K250" s="1">
        <v>43925</v>
      </c>
      <c r="L250" s="1">
        <v>43927</v>
      </c>
      <c r="M250" s="4">
        <v>3</v>
      </c>
      <c r="N250" s="7" cm="1">
        <f t="array" ref="N250">_xlfn.IFS(I250="Dell Inspiron 15",66989,I250="Lenovo IdeaPad Slim 3i",34690,I250="Mi NoteBook Ultra",57999,I250="Samsung Galaxy Go",36990,I250="Acer Aspire 3",38980)</f>
        <v>66989</v>
      </c>
      <c r="O250" s="5" t="s">
        <v>1030</v>
      </c>
    </row>
    <row r="251" spans="1:15" x14ac:dyDescent="0.35">
      <c r="A251" s="4">
        <v>24473</v>
      </c>
      <c r="B251" s="5" t="s">
        <v>186</v>
      </c>
      <c r="C251" s="5" t="s">
        <v>70</v>
      </c>
      <c r="D251" s="5" t="s">
        <v>1032</v>
      </c>
      <c r="E251" s="5" t="s">
        <v>1036</v>
      </c>
      <c r="F251" s="5" t="s">
        <v>1013</v>
      </c>
      <c r="G251" s="3" t="s">
        <v>1018</v>
      </c>
      <c r="H251" s="5" t="s">
        <v>493</v>
      </c>
      <c r="I251" s="5" t="s">
        <v>1027</v>
      </c>
      <c r="J251" s="4">
        <v>5138</v>
      </c>
      <c r="K251" s="1">
        <v>43925</v>
      </c>
      <c r="L251" s="1">
        <v>43927</v>
      </c>
      <c r="M251" s="4">
        <v>6</v>
      </c>
      <c r="N251" s="7" cm="1">
        <f t="array" ref="N251">_xlfn.IFS(I251="Dell Inspiron 15",66989,I251="Lenovo IdeaPad Slim 3i",34690,I251="Mi NoteBook Ultra",57999,I251="Samsung Galaxy Go",36990,I251="Acer Aspire 3",38980)</f>
        <v>38980</v>
      </c>
      <c r="O251" s="5" t="s">
        <v>1030</v>
      </c>
    </row>
    <row r="252" spans="1:15" x14ac:dyDescent="0.35">
      <c r="A252" s="4">
        <v>25217</v>
      </c>
      <c r="B252" s="5" t="s">
        <v>220</v>
      </c>
      <c r="C252" s="5" t="s">
        <v>494</v>
      </c>
      <c r="D252" s="5" t="s">
        <v>1032</v>
      </c>
      <c r="E252" s="5" t="s">
        <v>1035</v>
      </c>
      <c r="F252" s="5" t="s">
        <v>1012</v>
      </c>
      <c r="G252" s="3" t="s">
        <v>1017</v>
      </c>
      <c r="H252" s="5" t="s">
        <v>495</v>
      </c>
      <c r="I252" s="5" t="s">
        <v>1025</v>
      </c>
      <c r="J252" s="4">
        <v>5033</v>
      </c>
      <c r="K252" s="1">
        <v>43930</v>
      </c>
      <c r="L252" s="1">
        <v>43932</v>
      </c>
      <c r="M252" s="4">
        <v>2</v>
      </c>
      <c r="N252" s="7" cm="1">
        <f t="array" ref="N252">_xlfn.IFS(I252="Dell Inspiron 15",66989,I252="Lenovo IdeaPad Slim 3i",34690,I252="Mi NoteBook Ultra",57999,I252="Samsung Galaxy Go",36990,I252="Acer Aspire 3",38980)</f>
        <v>57999</v>
      </c>
      <c r="O252" s="5" t="s">
        <v>1030</v>
      </c>
    </row>
    <row r="253" spans="1:15" x14ac:dyDescent="0.35">
      <c r="A253" s="4">
        <v>18415</v>
      </c>
      <c r="B253" s="5" t="s">
        <v>116</v>
      </c>
      <c r="C253" s="5" t="s">
        <v>225</v>
      </c>
      <c r="D253" s="5" t="s">
        <v>1032</v>
      </c>
      <c r="E253" s="5" t="s">
        <v>1035</v>
      </c>
      <c r="F253" s="5" t="s">
        <v>1012</v>
      </c>
      <c r="G253" s="3" t="s">
        <v>1017</v>
      </c>
      <c r="H253" s="5" t="s">
        <v>496</v>
      </c>
      <c r="I253" s="5" t="s">
        <v>1026</v>
      </c>
      <c r="J253" s="4">
        <v>4845</v>
      </c>
      <c r="K253" s="1">
        <v>43842</v>
      </c>
      <c r="L253" s="1">
        <v>43843</v>
      </c>
      <c r="M253" s="4">
        <v>1</v>
      </c>
      <c r="N253" s="7" cm="1">
        <f t="array" ref="N253">_xlfn.IFS(I253="Dell Inspiron 15",66989,I253="Lenovo IdeaPad Slim 3i",34690,I253="Mi NoteBook Ultra",57999,I253="Samsung Galaxy Go",36990,I253="Acer Aspire 3",38980)</f>
        <v>36990</v>
      </c>
      <c r="O253" s="5" t="s">
        <v>1030</v>
      </c>
    </row>
    <row r="254" spans="1:15" x14ac:dyDescent="0.35">
      <c r="A254" s="4">
        <v>18829</v>
      </c>
      <c r="B254" s="5" t="s">
        <v>74</v>
      </c>
      <c r="C254" s="5" t="s">
        <v>303</v>
      </c>
      <c r="D254" s="5" t="s">
        <v>1032</v>
      </c>
      <c r="E254" s="5" t="s">
        <v>1036</v>
      </c>
      <c r="F254" s="5" t="s">
        <v>1013</v>
      </c>
      <c r="G254" s="3" t="s">
        <v>1018</v>
      </c>
      <c r="H254" s="5" t="s">
        <v>497</v>
      </c>
      <c r="I254" s="5" t="s">
        <v>1027</v>
      </c>
      <c r="J254" s="4">
        <v>5039</v>
      </c>
      <c r="K254" s="1">
        <v>43842</v>
      </c>
      <c r="L254" s="1">
        <v>43844</v>
      </c>
      <c r="M254" s="4">
        <v>4</v>
      </c>
      <c r="N254" s="7" cm="1">
        <f t="array" ref="N254">_xlfn.IFS(I254="Dell Inspiron 15",66989,I254="Lenovo IdeaPad Slim 3i",34690,I254="Mi NoteBook Ultra",57999,I254="Samsung Galaxy Go",36990,I254="Acer Aspire 3",38980)</f>
        <v>38980</v>
      </c>
      <c r="O254" s="5" t="s">
        <v>1030</v>
      </c>
    </row>
    <row r="255" spans="1:15" x14ac:dyDescent="0.35">
      <c r="A255" s="4">
        <v>15311</v>
      </c>
      <c r="B255" s="5" t="s">
        <v>392</v>
      </c>
      <c r="C255" s="5" t="s">
        <v>111</v>
      </c>
      <c r="D255" s="5" t="s">
        <v>1032</v>
      </c>
      <c r="E255" s="5" t="s">
        <v>1036</v>
      </c>
      <c r="F255" s="5" t="s">
        <v>1013</v>
      </c>
      <c r="G255" s="3" t="s">
        <v>1018</v>
      </c>
      <c r="H255" s="5" t="s">
        <v>498</v>
      </c>
      <c r="I255" s="5" t="s">
        <v>1023</v>
      </c>
      <c r="J255" s="4">
        <v>5441</v>
      </c>
      <c r="K255" s="1">
        <v>43930</v>
      </c>
      <c r="L255" s="1">
        <v>43931</v>
      </c>
      <c r="M255" s="4">
        <v>3</v>
      </c>
      <c r="N255" s="7" cm="1">
        <f t="array" ref="N255">_xlfn.IFS(I255="Dell Inspiron 15",66989,I255="Lenovo IdeaPad Slim 3i",34690,I255="Mi NoteBook Ultra",57999,I255="Samsung Galaxy Go",36990,I255="Acer Aspire 3",38980)</f>
        <v>66989</v>
      </c>
      <c r="O255" s="5" t="s">
        <v>1030</v>
      </c>
    </row>
    <row r="256" spans="1:15" x14ac:dyDescent="0.35">
      <c r="A256" s="4">
        <v>22818</v>
      </c>
      <c r="B256" s="5" t="s">
        <v>47</v>
      </c>
      <c r="C256" s="5" t="s">
        <v>208</v>
      </c>
      <c r="D256" s="5" t="s">
        <v>1032</v>
      </c>
      <c r="E256" s="5" t="s">
        <v>1033</v>
      </c>
      <c r="F256" s="5" t="s">
        <v>1010</v>
      </c>
      <c r="G256" s="3" t="s">
        <v>1015</v>
      </c>
      <c r="H256" s="5" t="s">
        <v>499</v>
      </c>
      <c r="I256" s="5" t="s">
        <v>1025</v>
      </c>
      <c r="J256" s="4">
        <v>4535</v>
      </c>
      <c r="K256" s="1">
        <v>43857</v>
      </c>
      <c r="L256" s="1">
        <v>43858</v>
      </c>
      <c r="M256" s="4">
        <v>5</v>
      </c>
      <c r="N256" s="7" cm="1">
        <f t="array" ref="N256">_xlfn.IFS(I256="Dell Inspiron 15",66989,I256="Lenovo IdeaPad Slim 3i",34690,I256="Mi NoteBook Ultra",57999,I256="Samsung Galaxy Go",36990,I256="Acer Aspire 3",38980)</f>
        <v>57999</v>
      </c>
      <c r="O256" s="5" t="s">
        <v>1030</v>
      </c>
    </row>
    <row r="257" spans="1:15" x14ac:dyDescent="0.35">
      <c r="A257" s="4">
        <v>19406</v>
      </c>
      <c r="B257" s="5" t="s">
        <v>314</v>
      </c>
      <c r="C257" s="5" t="s">
        <v>99</v>
      </c>
      <c r="D257" s="5" t="s">
        <v>1032</v>
      </c>
      <c r="E257" s="5" t="s">
        <v>1034</v>
      </c>
      <c r="F257" s="5" t="s">
        <v>1011</v>
      </c>
      <c r="G257" s="3" t="s">
        <v>1016</v>
      </c>
      <c r="H257" s="5" t="s">
        <v>500</v>
      </c>
      <c r="I257" s="5" t="s">
        <v>1027</v>
      </c>
      <c r="J257" s="4">
        <v>5241</v>
      </c>
      <c r="K257" s="1">
        <v>43976</v>
      </c>
      <c r="L257" s="1">
        <v>43977</v>
      </c>
      <c r="M257" s="4">
        <v>6</v>
      </c>
      <c r="N257" s="7" cm="1">
        <f t="array" ref="N257">_xlfn.IFS(I257="Dell Inspiron 15",66989,I257="Lenovo IdeaPad Slim 3i",34690,I257="Mi NoteBook Ultra",57999,I257="Samsung Galaxy Go",36990,I257="Acer Aspire 3",38980)</f>
        <v>38980</v>
      </c>
      <c r="O257" s="5" t="s">
        <v>1030</v>
      </c>
    </row>
    <row r="258" spans="1:15" x14ac:dyDescent="0.35">
      <c r="A258" s="4">
        <v>15789</v>
      </c>
      <c r="B258" s="5" t="s">
        <v>327</v>
      </c>
      <c r="C258" s="5" t="s">
        <v>184</v>
      </c>
      <c r="D258" s="5" t="s">
        <v>1032</v>
      </c>
      <c r="E258" s="5" t="s">
        <v>1033</v>
      </c>
      <c r="F258" s="5" t="s">
        <v>1010</v>
      </c>
      <c r="G258" s="3" t="s">
        <v>1015</v>
      </c>
      <c r="H258" s="5" t="s">
        <v>501</v>
      </c>
      <c r="I258" s="5" t="s">
        <v>1023</v>
      </c>
      <c r="J258" s="4">
        <v>4852</v>
      </c>
      <c r="K258" s="1">
        <v>43967</v>
      </c>
      <c r="L258" s="1">
        <v>43968</v>
      </c>
      <c r="M258" s="4">
        <v>6</v>
      </c>
      <c r="N258" s="7" cm="1">
        <f t="array" ref="N258">_xlfn.IFS(I258="Dell Inspiron 15",66989,I258="Lenovo IdeaPad Slim 3i",34690,I258="Mi NoteBook Ultra",57999,I258="Samsung Galaxy Go",36990,I258="Acer Aspire 3",38980)</f>
        <v>66989</v>
      </c>
      <c r="O258" s="5" t="s">
        <v>1030</v>
      </c>
    </row>
    <row r="259" spans="1:15" x14ac:dyDescent="0.35">
      <c r="A259" s="4">
        <v>22207</v>
      </c>
      <c r="B259" s="5" t="s">
        <v>465</v>
      </c>
      <c r="C259" s="5" t="s">
        <v>487</v>
      </c>
      <c r="D259" s="5" t="s">
        <v>1032</v>
      </c>
      <c r="E259" s="5" t="s">
        <v>1035</v>
      </c>
      <c r="F259" s="5" t="s">
        <v>1012</v>
      </c>
      <c r="G259" s="3" t="s">
        <v>1017</v>
      </c>
      <c r="H259" s="5" t="s">
        <v>502</v>
      </c>
      <c r="I259" s="5" t="s">
        <v>1024</v>
      </c>
      <c r="J259" s="4">
        <v>5452</v>
      </c>
      <c r="K259" s="1">
        <v>43967</v>
      </c>
      <c r="L259" s="1">
        <v>43968</v>
      </c>
      <c r="M259" s="4">
        <v>10</v>
      </c>
      <c r="N259" s="7" cm="1">
        <f t="array" ref="N259">_xlfn.IFS(I259="Dell Inspiron 15",66989,I259="Lenovo IdeaPad Slim 3i",34690,I259="Mi NoteBook Ultra",57999,I259="Samsung Galaxy Go",36990,I259="Acer Aspire 3",38980)</f>
        <v>34690</v>
      </c>
      <c r="O259" s="5" t="s">
        <v>1030</v>
      </c>
    </row>
    <row r="260" spans="1:15" x14ac:dyDescent="0.35">
      <c r="A260" s="4">
        <v>18711</v>
      </c>
      <c r="B260" s="5" t="s">
        <v>139</v>
      </c>
      <c r="C260" s="5" t="s">
        <v>184</v>
      </c>
      <c r="D260" s="5" t="s">
        <v>1032</v>
      </c>
      <c r="E260" s="5" t="s">
        <v>1035</v>
      </c>
      <c r="F260" s="5" t="s">
        <v>1012</v>
      </c>
      <c r="G260" s="3" t="s">
        <v>1017</v>
      </c>
      <c r="H260" s="5" t="s">
        <v>503</v>
      </c>
      <c r="I260" s="5" t="s">
        <v>1025</v>
      </c>
      <c r="J260" s="4">
        <v>5052</v>
      </c>
      <c r="K260" s="1">
        <v>43984</v>
      </c>
      <c r="L260" s="1">
        <v>43985</v>
      </c>
      <c r="M260" s="4">
        <v>3</v>
      </c>
      <c r="N260" s="7" cm="1">
        <f t="array" ref="N260">_xlfn.IFS(I260="Dell Inspiron 15",66989,I260="Lenovo IdeaPad Slim 3i",34690,I260="Mi NoteBook Ultra",57999,I260="Samsung Galaxy Go",36990,I260="Acer Aspire 3",38980)</f>
        <v>57999</v>
      </c>
      <c r="O260" s="5" t="s">
        <v>1030</v>
      </c>
    </row>
    <row r="261" spans="1:15" x14ac:dyDescent="0.35">
      <c r="A261" s="4">
        <v>14465</v>
      </c>
      <c r="B261" s="5" t="s">
        <v>48</v>
      </c>
      <c r="C261" s="5" t="s">
        <v>256</v>
      </c>
      <c r="D261" s="5" t="s">
        <v>1032</v>
      </c>
      <c r="E261" s="5" t="s">
        <v>1036</v>
      </c>
      <c r="F261" s="5" t="s">
        <v>1013</v>
      </c>
      <c r="G261" s="3" t="s">
        <v>1018</v>
      </c>
      <c r="H261" s="5" t="s">
        <v>504</v>
      </c>
      <c r="I261" s="5" t="s">
        <v>1026</v>
      </c>
      <c r="J261" s="4">
        <v>4691</v>
      </c>
      <c r="K261" s="1">
        <v>43984</v>
      </c>
      <c r="L261" s="1">
        <v>43985</v>
      </c>
      <c r="M261" s="4">
        <v>3</v>
      </c>
      <c r="N261" s="7" cm="1">
        <f t="array" ref="N261">_xlfn.IFS(I261="Dell Inspiron 15",66989,I261="Lenovo IdeaPad Slim 3i",34690,I261="Mi NoteBook Ultra",57999,I261="Samsung Galaxy Go",36990,I261="Acer Aspire 3",38980)</f>
        <v>36990</v>
      </c>
      <c r="O261" s="5" t="s">
        <v>1030</v>
      </c>
    </row>
    <row r="262" spans="1:15" x14ac:dyDescent="0.35">
      <c r="A262" s="4">
        <v>17872</v>
      </c>
      <c r="B262" s="5" t="s">
        <v>327</v>
      </c>
      <c r="C262" s="5" t="s">
        <v>86</v>
      </c>
      <c r="D262" s="5" t="s">
        <v>1032</v>
      </c>
      <c r="E262" s="5" t="s">
        <v>1033</v>
      </c>
      <c r="F262" s="5" t="s">
        <v>1010</v>
      </c>
      <c r="G262" s="3" t="s">
        <v>1015</v>
      </c>
      <c r="H262" s="5" t="s">
        <v>505</v>
      </c>
      <c r="I262" s="5" t="s">
        <v>1027</v>
      </c>
      <c r="J262" s="4">
        <v>5466</v>
      </c>
      <c r="K262" s="1">
        <v>43845</v>
      </c>
      <c r="L262" s="1">
        <v>43847</v>
      </c>
      <c r="M262" s="4">
        <v>6</v>
      </c>
      <c r="N262" s="7" cm="1">
        <f t="array" ref="N262">_xlfn.IFS(I262="Dell Inspiron 15",66989,I262="Lenovo IdeaPad Slim 3i",34690,I262="Mi NoteBook Ultra",57999,I262="Samsung Galaxy Go",36990,I262="Acer Aspire 3",38980)</f>
        <v>38980</v>
      </c>
      <c r="O262" s="5" t="s">
        <v>1030</v>
      </c>
    </row>
    <row r="263" spans="1:15" x14ac:dyDescent="0.35">
      <c r="A263" s="4">
        <v>23215</v>
      </c>
      <c r="B263" s="5" t="s">
        <v>450</v>
      </c>
      <c r="C263" s="5" t="s">
        <v>369</v>
      </c>
      <c r="D263" s="5" t="s">
        <v>1032</v>
      </c>
      <c r="E263" s="5" t="s">
        <v>1035</v>
      </c>
      <c r="F263" s="5" t="s">
        <v>1012</v>
      </c>
      <c r="G263" s="3" t="s">
        <v>1017</v>
      </c>
      <c r="H263" s="5" t="s">
        <v>506</v>
      </c>
      <c r="I263" s="5" t="s">
        <v>1023</v>
      </c>
      <c r="J263" s="4">
        <v>5467</v>
      </c>
      <c r="K263" s="1">
        <v>43906</v>
      </c>
      <c r="L263" s="1">
        <v>43906</v>
      </c>
      <c r="M263" s="4">
        <v>3</v>
      </c>
      <c r="N263" s="7" cm="1">
        <f t="array" ref="N263">_xlfn.IFS(I263="Dell Inspiron 15",66989,I263="Lenovo IdeaPad Slim 3i",34690,I263="Mi NoteBook Ultra",57999,I263="Samsung Galaxy Go",36990,I263="Acer Aspire 3",38980)</f>
        <v>66989</v>
      </c>
      <c r="O263" s="5" t="s">
        <v>1030</v>
      </c>
    </row>
    <row r="264" spans="1:15" x14ac:dyDescent="0.35">
      <c r="A264" s="4">
        <v>13172</v>
      </c>
      <c r="B264" s="5" t="s">
        <v>154</v>
      </c>
      <c r="C264" s="5" t="s">
        <v>375</v>
      </c>
      <c r="D264" s="5" t="s">
        <v>1032</v>
      </c>
      <c r="E264" s="5" t="s">
        <v>1036</v>
      </c>
      <c r="F264" s="5" t="s">
        <v>1013</v>
      </c>
      <c r="G264" s="3" t="s">
        <v>1018</v>
      </c>
      <c r="H264" s="5" t="s">
        <v>507</v>
      </c>
      <c r="I264" s="5" t="s">
        <v>1025</v>
      </c>
      <c r="J264" s="4">
        <v>5119</v>
      </c>
      <c r="K264" s="1">
        <v>43902</v>
      </c>
      <c r="L264" s="1">
        <v>43903</v>
      </c>
      <c r="M264" s="4">
        <v>2</v>
      </c>
      <c r="N264" s="7" cm="1">
        <f t="array" ref="N264">_xlfn.IFS(I264="Dell Inspiron 15",66989,I264="Lenovo IdeaPad Slim 3i",34690,I264="Mi NoteBook Ultra",57999,I264="Samsung Galaxy Go",36990,I264="Acer Aspire 3",38980)</f>
        <v>57999</v>
      </c>
      <c r="O264" s="5" t="s">
        <v>1030</v>
      </c>
    </row>
    <row r="265" spans="1:15" x14ac:dyDescent="0.35">
      <c r="A265" s="4">
        <v>24542</v>
      </c>
      <c r="B265" s="5" t="s">
        <v>508</v>
      </c>
      <c r="C265" s="5" t="s">
        <v>509</v>
      </c>
      <c r="D265" s="5" t="s">
        <v>1032</v>
      </c>
      <c r="E265" s="5" t="s">
        <v>1033</v>
      </c>
      <c r="F265" s="5" t="s">
        <v>1010</v>
      </c>
      <c r="G265" s="3" t="s">
        <v>1015</v>
      </c>
      <c r="H265" s="5" t="s">
        <v>510</v>
      </c>
      <c r="I265" s="5" t="s">
        <v>1026</v>
      </c>
      <c r="J265" s="4">
        <v>4969</v>
      </c>
      <c r="K265" s="1">
        <v>43944</v>
      </c>
      <c r="L265" s="1">
        <v>43945</v>
      </c>
      <c r="M265" s="4">
        <v>10</v>
      </c>
      <c r="N265" s="7" cm="1">
        <f t="array" ref="N265">_xlfn.IFS(I265="Dell Inspiron 15",66989,I265="Lenovo IdeaPad Slim 3i",34690,I265="Mi NoteBook Ultra",57999,I265="Samsung Galaxy Go",36990,I265="Acer Aspire 3",38980)</f>
        <v>36990</v>
      </c>
      <c r="O265" s="5" t="s">
        <v>1030</v>
      </c>
    </row>
    <row r="266" spans="1:15" x14ac:dyDescent="0.35">
      <c r="A266" s="4">
        <v>13710</v>
      </c>
      <c r="B266" s="5" t="s">
        <v>511</v>
      </c>
      <c r="C266" s="5" t="s">
        <v>4</v>
      </c>
      <c r="D266" s="5" t="s">
        <v>1032</v>
      </c>
      <c r="E266" s="5" t="s">
        <v>1036</v>
      </c>
      <c r="F266" s="5" t="s">
        <v>1013</v>
      </c>
      <c r="G266" s="3" t="s">
        <v>1018</v>
      </c>
      <c r="H266" s="5" t="s">
        <v>512</v>
      </c>
      <c r="I266" s="5" t="s">
        <v>1027</v>
      </c>
      <c r="J266" s="4">
        <v>4953</v>
      </c>
      <c r="K266" s="1">
        <v>43852</v>
      </c>
      <c r="L266" s="1">
        <v>43853</v>
      </c>
      <c r="M266" s="4">
        <v>4</v>
      </c>
      <c r="N266" s="7" cm="1">
        <f t="array" ref="N266">_xlfn.IFS(I266="Dell Inspiron 15",66989,I266="Lenovo IdeaPad Slim 3i",34690,I266="Mi NoteBook Ultra",57999,I266="Samsung Galaxy Go",36990,I266="Acer Aspire 3",38980)</f>
        <v>38980</v>
      </c>
      <c r="O266" s="5" t="s">
        <v>1030</v>
      </c>
    </row>
    <row r="267" spans="1:15" x14ac:dyDescent="0.35">
      <c r="A267" s="4">
        <v>21491</v>
      </c>
      <c r="B267" s="5" t="s">
        <v>340</v>
      </c>
      <c r="C267" s="5" t="s">
        <v>513</v>
      </c>
      <c r="D267" s="5" t="s">
        <v>1032</v>
      </c>
      <c r="E267" s="5" t="s">
        <v>1033</v>
      </c>
      <c r="F267" s="5" t="s">
        <v>1010</v>
      </c>
      <c r="G267" s="3" t="s">
        <v>1015</v>
      </c>
      <c r="H267" s="5" t="s">
        <v>514</v>
      </c>
      <c r="I267" s="5" t="s">
        <v>1023</v>
      </c>
      <c r="J267" s="4">
        <v>5116</v>
      </c>
      <c r="K267" s="1">
        <v>43941</v>
      </c>
      <c r="L267" s="1">
        <v>43943</v>
      </c>
      <c r="M267" s="4">
        <v>10</v>
      </c>
      <c r="N267" s="7" cm="1">
        <f t="array" ref="N267">_xlfn.IFS(I267="Dell Inspiron 15",66989,I267="Lenovo IdeaPad Slim 3i",34690,I267="Mi NoteBook Ultra",57999,I267="Samsung Galaxy Go",36990,I267="Acer Aspire 3",38980)</f>
        <v>66989</v>
      </c>
      <c r="O267" s="5" t="s">
        <v>1030</v>
      </c>
    </row>
    <row r="268" spans="1:15" x14ac:dyDescent="0.35">
      <c r="A268" s="4">
        <v>18383</v>
      </c>
      <c r="B268" s="5" t="s">
        <v>435</v>
      </c>
      <c r="C268" s="5" t="s">
        <v>515</v>
      </c>
      <c r="D268" s="5" t="s">
        <v>1032</v>
      </c>
      <c r="E268" s="5" t="s">
        <v>1034</v>
      </c>
      <c r="F268" s="5" t="s">
        <v>1011</v>
      </c>
      <c r="G268" s="3" t="s">
        <v>1016</v>
      </c>
      <c r="H268" s="5" t="s">
        <v>516</v>
      </c>
      <c r="I268" s="5" t="s">
        <v>1025</v>
      </c>
      <c r="J268" s="4">
        <v>4941</v>
      </c>
      <c r="K268" s="1">
        <v>43845</v>
      </c>
      <c r="L268" s="1">
        <v>43846</v>
      </c>
      <c r="M268" s="4">
        <v>7</v>
      </c>
      <c r="N268" s="7" cm="1">
        <f t="array" ref="N268">_xlfn.IFS(I268="Dell Inspiron 15",66989,I268="Lenovo IdeaPad Slim 3i",34690,I268="Mi NoteBook Ultra",57999,I268="Samsung Galaxy Go",36990,I268="Acer Aspire 3",38980)</f>
        <v>57999</v>
      </c>
      <c r="O268" s="5" t="s">
        <v>1030</v>
      </c>
    </row>
    <row r="269" spans="1:15" x14ac:dyDescent="0.35">
      <c r="A269" s="4">
        <v>17098</v>
      </c>
      <c r="B269" s="5" t="s">
        <v>142</v>
      </c>
      <c r="C269" s="5" t="s">
        <v>129</v>
      </c>
      <c r="D269" s="5" t="s">
        <v>1032</v>
      </c>
      <c r="E269" s="5" t="s">
        <v>1033</v>
      </c>
      <c r="F269" s="5" t="s">
        <v>1010</v>
      </c>
      <c r="G269" s="3" t="s">
        <v>1015</v>
      </c>
      <c r="H269" s="5" t="s">
        <v>517</v>
      </c>
      <c r="I269" s="5" t="s">
        <v>1027</v>
      </c>
      <c r="J269" s="4">
        <v>5273</v>
      </c>
      <c r="K269" s="1">
        <v>43940</v>
      </c>
      <c r="L269" s="1">
        <v>43947</v>
      </c>
      <c r="M269" s="4">
        <v>7</v>
      </c>
      <c r="N269" s="7" cm="1">
        <f t="array" ref="N269">_xlfn.IFS(I269="Dell Inspiron 15",66989,I269="Lenovo IdeaPad Slim 3i",34690,I269="Mi NoteBook Ultra",57999,I269="Samsung Galaxy Go",36990,I269="Acer Aspire 3",38980)</f>
        <v>38980</v>
      </c>
      <c r="O269" s="5" t="s">
        <v>1030</v>
      </c>
    </row>
    <row r="270" spans="1:15" x14ac:dyDescent="0.35">
      <c r="A270" s="4">
        <v>13118</v>
      </c>
      <c r="B270" s="5" t="s">
        <v>518</v>
      </c>
      <c r="C270" s="5" t="s">
        <v>484</v>
      </c>
      <c r="D270" s="5" t="s">
        <v>1032</v>
      </c>
      <c r="E270" s="5" t="s">
        <v>1035</v>
      </c>
      <c r="F270" s="5" t="s">
        <v>1012</v>
      </c>
      <c r="G270" s="3" t="s">
        <v>1017</v>
      </c>
      <c r="H270" s="5" t="s">
        <v>519</v>
      </c>
      <c r="I270" s="5" t="s">
        <v>1023</v>
      </c>
      <c r="J270" s="4">
        <v>5434</v>
      </c>
      <c r="K270" s="1">
        <v>43919</v>
      </c>
      <c r="L270" s="1">
        <v>43922</v>
      </c>
      <c r="M270" s="4">
        <v>8</v>
      </c>
      <c r="N270" s="7" cm="1">
        <f t="array" ref="N270">_xlfn.IFS(I270="Dell Inspiron 15",66989,I270="Lenovo IdeaPad Slim 3i",34690,I270="Mi NoteBook Ultra",57999,I270="Samsung Galaxy Go",36990,I270="Acer Aspire 3",38980)</f>
        <v>66989</v>
      </c>
      <c r="O270" s="5" t="s">
        <v>1030</v>
      </c>
    </row>
    <row r="271" spans="1:15" x14ac:dyDescent="0.35">
      <c r="A271" s="4">
        <v>13991</v>
      </c>
      <c r="B271" s="5" t="s">
        <v>41</v>
      </c>
      <c r="C271" s="5" t="s">
        <v>385</v>
      </c>
      <c r="D271" s="5" t="s">
        <v>1032</v>
      </c>
      <c r="E271" s="5" t="s">
        <v>1033</v>
      </c>
      <c r="F271" s="5" t="s">
        <v>1010</v>
      </c>
      <c r="G271" s="3" t="s">
        <v>1015</v>
      </c>
      <c r="H271" s="5" t="s">
        <v>520</v>
      </c>
      <c r="I271" s="5" t="s">
        <v>1024</v>
      </c>
      <c r="J271" s="4">
        <v>5459</v>
      </c>
      <c r="K271" s="1">
        <v>44000</v>
      </c>
      <c r="L271" s="1">
        <v>44004</v>
      </c>
      <c r="M271" s="4">
        <v>4</v>
      </c>
      <c r="N271" s="7" cm="1">
        <f t="array" ref="N271">_xlfn.IFS(I271="Dell Inspiron 15",66989,I271="Lenovo IdeaPad Slim 3i",34690,I271="Mi NoteBook Ultra",57999,I271="Samsung Galaxy Go",36990,I271="Acer Aspire 3",38980)</f>
        <v>34690</v>
      </c>
      <c r="O271" s="5" t="s">
        <v>1030</v>
      </c>
    </row>
    <row r="272" spans="1:15" x14ac:dyDescent="0.35">
      <c r="A272" s="4">
        <v>22428</v>
      </c>
      <c r="B272" s="5" t="s">
        <v>38</v>
      </c>
      <c r="C272" s="5" t="s">
        <v>91</v>
      </c>
      <c r="D272" s="5" t="s">
        <v>1032</v>
      </c>
      <c r="E272" s="5" t="s">
        <v>1034</v>
      </c>
      <c r="F272" s="5" t="s">
        <v>1011</v>
      </c>
      <c r="G272" s="3" t="s">
        <v>1016</v>
      </c>
      <c r="H272" s="5" t="s">
        <v>521</v>
      </c>
      <c r="I272" s="5" t="s">
        <v>1026</v>
      </c>
      <c r="J272" s="4">
        <v>5141</v>
      </c>
      <c r="K272" s="1">
        <v>43965</v>
      </c>
      <c r="L272" s="1">
        <v>43966</v>
      </c>
      <c r="M272" s="4">
        <v>1</v>
      </c>
      <c r="N272" s="7" cm="1">
        <f t="array" ref="N272">_xlfn.IFS(I272="Dell Inspiron 15",66989,I272="Lenovo IdeaPad Slim 3i",34690,I272="Mi NoteBook Ultra",57999,I272="Samsung Galaxy Go",36990,I272="Acer Aspire 3",38980)</f>
        <v>36990</v>
      </c>
      <c r="O272" s="5" t="s">
        <v>1030</v>
      </c>
    </row>
    <row r="273" spans="1:15" x14ac:dyDescent="0.35">
      <c r="A273" s="4">
        <v>16694</v>
      </c>
      <c r="B273" s="5" t="s">
        <v>121</v>
      </c>
      <c r="C273" s="5" t="s">
        <v>522</v>
      </c>
      <c r="D273" s="5" t="s">
        <v>1032</v>
      </c>
      <c r="E273" s="5" t="s">
        <v>1033</v>
      </c>
      <c r="F273" s="5" t="s">
        <v>1010</v>
      </c>
      <c r="G273" s="3" t="s">
        <v>1015</v>
      </c>
      <c r="H273" s="5" t="s">
        <v>523</v>
      </c>
      <c r="I273" s="5" t="s">
        <v>1023</v>
      </c>
      <c r="J273" s="4">
        <v>5325</v>
      </c>
      <c r="K273" s="1">
        <v>43855</v>
      </c>
      <c r="L273" s="1">
        <v>43856</v>
      </c>
      <c r="M273" s="4">
        <v>5</v>
      </c>
      <c r="N273" s="7" cm="1">
        <f t="array" ref="N273">_xlfn.IFS(I273="Dell Inspiron 15",66989,I273="Lenovo IdeaPad Slim 3i",34690,I273="Mi NoteBook Ultra",57999,I273="Samsung Galaxy Go",36990,I273="Acer Aspire 3",38980)</f>
        <v>66989</v>
      </c>
      <c r="O273" s="5" t="s">
        <v>1030</v>
      </c>
    </row>
    <row r="274" spans="1:15" x14ac:dyDescent="0.35">
      <c r="A274" s="4">
        <v>14982</v>
      </c>
      <c r="B274" s="5" t="s">
        <v>524</v>
      </c>
      <c r="C274" s="5" t="s">
        <v>91</v>
      </c>
      <c r="D274" s="5" t="s">
        <v>1032</v>
      </c>
      <c r="E274" s="5" t="s">
        <v>1035</v>
      </c>
      <c r="F274" s="5" t="s">
        <v>1012</v>
      </c>
      <c r="G274" s="3" t="s">
        <v>1017</v>
      </c>
      <c r="H274" s="5" t="s">
        <v>525</v>
      </c>
      <c r="I274" s="5" t="s">
        <v>1027</v>
      </c>
      <c r="J274" s="4">
        <v>5353</v>
      </c>
      <c r="K274" s="1">
        <v>43832</v>
      </c>
      <c r="L274" s="1">
        <v>43834</v>
      </c>
      <c r="M274" s="4">
        <v>8</v>
      </c>
      <c r="N274" s="7" cm="1">
        <f t="array" ref="N274">_xlfn.IFS(I274="Dell Inspiron 15",66989,I274="Lenovo IdeaPad Slim 3i",34690,I274="Mi NoteBook Ultra",57999,I274="Samsung Galaxy Go",36990,I274="Acer Aspire 3",38980)</f>
        <v>38980</v>
      </c>
      <c r="O274" s="5" t="s">
        <v>1030</v>
      </c>
    </row>
    <row r="275" spans="1:15" x14ac:dyDescent="0.35">
      <c r="A275" s="4">
        <v>22495</v>
      </c>
      <c r="B275" s="5" t="s">
        <v>98</v>
      </c>
      <c r="C275" s="5" t="s">
        <v>396</v>
      </c>
      <c r="D275" s="5" t="s">
        <v>1032</v>
      </c>
      <c r="E275" s="5" t="s">
        <v>1035</v>
      </c>
      <c r="F275" s="5" t="s">
        <v>1012</v>
      </c>
      <c r="G275" s="3" t="s">
        <v>1017</v>
      </c>
      <c r="H275" s="5" t="s">
        <v>526</v>
      </c>
      <c r="I275" s="5" t="s">
        <v>1025</v>
      </c>
      <c r="J275" s="4">
        <v>4809</v>
      </c>
      <c r="K275" s="1">
        <v>43832</v>
      </c>
      <c r="L275" s="1">
        <v>43833</v>
      </c>
      <c r="M275" s="4">
        <v>7</v>
      </c>
      <c r="N275" s="7" cm="1">
        <f t="array" ref="N275">_xlfn.IFS(I275="Dell Inspiron 15",66989,I275="Lenovo IdeaPad Slim 3i",34690,I275="Mi NoteBook Ultra",57999,I275="Samsung Galaxy Go",36990,I275="Acer Aspire 3",38980)</f>
        <v>57999</v>
      </c>
      <c r="O275" s="5" t="s">
        <v>1030</v>
      </c>
    </row>
    <row r="276" spans="1:15" x14ac:dyDescent="0.35">
      <c r="A276" s="4">
        <v>24264</v>
      </c>
      <c r="B276" s="5" t="s">
        <v>234</v>
      </c>
      <c r="C276" s="5" t="s">
        <v>415</v>
      </c>
      <c r="D276" s="5" t="s">
        <v>1032</v>
      </c>
      <c r="E276" s="5" t="s">
        <v>1035</v>
      </c>
      <c r="F276" s="5" t="s">
        <v>1012</v>
      </c>
      <c r="G276" s="3" t="s">
        <v>1017</v>
      </c>
      <c r="H276" s="5" t="s">
        <v>527</v>
      </c>
      <c r="I276" s="5" t="s">
        <v>1026</v>
      </c>
      <c r="J276" s="4">
        <v>4643</v>
      </c>
      <c r="K276" s="1">
        <v>43841</v>
      </c>
      <c r="L276" s="1">
        <v>43848</v>
      </c>
      <c r="M276" s="4">
        <v>6</v>
      </c>
      <c r="N276" s="7" cm="1">
        <f t="array" ref="N276">_xlfn.IFS(I276="Dell Inspiron 15",66989,I276="Lenovo IdeaPad Slim 3i",34690,I276="Mi NoteBook Ultra",57999,I276="Samsung Galaxy Go",36990,I276="Acer Aspire 3",38980)</f>
        <v>36990</v>
      </c>
      <c r="O276" s="5" t="s">
        <v>1030</v>
      </c>
    </row>
    <row r="277" spans="1:15" x14ac:dyDescent="0.35">
      <c r="A277" s="4">
        <v>12987</v>
      </c>
      <c r="B277" s="5" t="s">
        <v>528</v>
      </c>
      <c r="C277" s="5" t="s">
        <v>67</v>
      </c>
      <c r="D277" s="5" t="s">
        <v>1032</v>
      </c>
      <c r="E277" s="5" t="s">
        <v>1035</v>
      </c>
      <c r="F277" s="5" t="s">
        <v>1012</v>
      </c>
      <c r="G277" s="3" t="s">
        <v>1017</v>
      </c>
      <c r="H277" s="5" t="s">
        <v>529</v>
      </c>
      <c r="I277" s="5" t="s">
        <v>1027</v>
      </c>
      <c r="J277" s="4">
        <v>5196</v>
      </c>
      <c r="K277" s="1">
        <v>43833</v>
      </c>
      <c r="L277" s="1">
        <v>43835</v>
      </c>
      <c r="M277" s="4">
        <v>6</v>
      </c>
      <c r="N277" s="7" cm="1">
        <f t="array" ref="N277">_xlfn.IFS(I277="Dell Inspiron 15",66989,I277="Lenovo IdeaPad Slim 3i",34690,I277="Mi NoteBook Ultra",57999,I277="Samsung Galaxy Go",36990,I277="Acer Aspire 3",38980)</f>
        <v>38980</v>
      </c>
      <c r="O277" s="5" t="s">
        <v>1030</v>
      </c>
    </row>
    <row r="278" spans="1:15" x14ac:dyDescent="0.35">
      <c r="A278" s="4">
        <v>16795</v>
      </c>
      <c r="B278" s="5" t="s">
        <v>530</v>
      </c>
      <c r="C278" s="5" t="s">
        <v>15</v>
      </c>
      <c r="D278" s="5" t="s">
        <v>1032</v>
      </c>
      <c r="E278" s="5" t="s">
        <v>1036</v>
      </c>
      <c r="F278" s="5" t="s">
        <v>1013</v>
      </c>
      <c r="G278" s="3" t="s">
        <v>1018</v>
      </c>
      <c r="H278" s="5" t="s">
        <v>531</v>
      </c>
      <c r="I278" s="5" t="s">
        <v>1023</v>
      </c>
      <c r="J278" s="4">
        <v>4687</v>
      </c>
      <c r="K278" s="1">
        <v>43833</v>
      </c>
      <c r="L278" s="1">
        <v>43840</v>
      </c>
      <c r="M278" s="4">
        <v>4</v>
      </c>
      <c r="N278" s="7" cm="1">
        <f t="array" ref="N278">_xlfn.IFS(I278="Dell Inspiron 15",66989,I278="Lenovo IdeaPad Slim 3i",34690,I278="Mi NoteBook Ultra",57999,I278="Samsung Galaxy Go",36990,I278="Acer Aspire 3",38980)</f>
        <v>66989</v>
      </c>
      <c r="O278" s="5" t="s">
        <v>1030</v>
      </c>
    </row>
    <row r="279" spans="1:15" x14ac:dyDescent="0.35">
      <c r="A279" s="4">
        <v>17301</v>
      </c>
      <c r="B279" s="5" t="s">
        <v>60</v>
      </c>
      <c r="C279" s="5" t="s">
        <v>291</v>
      </c>
      <c r="D279" s="5" t="s">
        <v>1032</v>
      </c>
      <c r="E279" s="5" t="s">
        <v>1033</v>
      </c>
      <c r="F279" s="5" t="s">
        <v>1010</v>
      </c>
      <c r="G279" s="3" t="s">
        <v>1015</v>
      </c>
      <c r="H279" s="5" t="s">
        <v>532</v>
      </c>
      <c r="I279" s="5" t="s">
        <v>1025</v>
      </c>
      <c r="J279" s="4">
        <v>4785</v>
      </c>
      <c r="K279" s="1">
        <v>43833</v>
      </c>
      <c r="L279" s="1">
        <v>43837</v>
      </c>
      <c r="M279" s="4">
        <v>2</v>
      </c>
      <c r="N279" s="7" cm="1">
        <f t="array" ref="N279">_xlfn.IFS(I279="Dell Inspiron 15",66989,I279="Lenovo IdeaPad Slim 3i",34690,I279="Mi NoteBook Ultra",57999,I279="Samsung Galaxy Go",36990,I279="Acer Aspire 3",38980)</f>
        <v>57999</v>
      </c>
      <c r="O279" s="5" t="s">
        <v>1030</v>
      </c>
    </row>
    <row r="280" spans="1:15" x14ac:dyDescent="0.35">
      <c r="A280" s="4">
        <v>13053</v>
      </c>
      <c r="B280" s="5" t="s">
        <v>48</v>
      </c>
      <c r="C280" s="5" t="s">
        <v>215</v>
      </c>
      <c r="D280" s="5" t="s">
        <v>1032</v>
      </c>
      <c r="E280" s="5" t="s">
        <v>1034</v>
      </c>
      <c r="F280" s="5" t="s">
        <v>1011</v>
      </c>
      <c r="G280" s="3" t="s">
        <v>1016</v>
      </c>
      <c r="H280" s="5" t="s">
        <v>533</v>
      </c>
      <c r="I280" s="5" t="s">
        <v>1027</v>
      </c>
      <c r="J280" s="4">
        <v>5294</v>
      </c>
      <c r="K280" s="1">
        <v>43934</v>
      </c>
      <c r="L280" s="1">
        <v>43936</v>
      </c>
      <c r="M280" s="4">
        <v>7</v>
      </c>
      <c r="N280" s="7" cm="1">
        <f t="array" ref="N280">_xlfn.IFS(I280="Dell Inspiron 15",66989,I280="Lenovo IdeaPad Slim 3i",34690,I280="Mi NoteBook Ultra",57999,I280="Samsung Galaxy Go",36990,I280="Acer Aspire 3",38980)</f>
        <v>38980</v>
      </c>
      <c r="O280" s="5" t="s">
        <v>1030</v>
      </c>
    </row>
    <row r="281" spans="1:15" x14ac:dyDescent="0.35">
      <c r="A281" s="4">
        <v>13958</v>
      </c>
      <c r="B281" s="5" t="s">
        <v>243</v>
      </c>
      <c r="C281" s="5" t="s">
        <v>534</v>
      </c>
      <c r="D281" s="5" t="s">
        <v>1032</v>
      </c>
      <c r="E281" s="5" t="s">
        <v>1033</v>
      </c>
      <c r="F281" s="5" t="s">
        <v>1010</v>
      </c>
      <c r="G281" s="3" t="s">
        <v>1015</v>
      </c>
      <c r="H281" s="5" t="s">
        <v>535</v>
      </c>
      <c r="I281" s="5" t="s">
        <v>1023</v>
      </c>
      <c r="J281" s="4">
        <v>5410</v>
      </c>
      <c r="K281" s="1">
        <v>43882</v>
      </c>
      <c r="L281" s="1">
        <v>43882</v>
      </c>
      <c r="M281" s="4">
        <v>3</v>
      </c>
      <c r="N281" s="7" cm="1">
        <f t="array" ref="N281">_xlfn.IFS(I281="Dell Inspiron 15",66989,I281="Lenovo IdeaPad Slim 3i",34690,I281="Mi NoteBook Ultra",57999,I281="Samsung Galaxy Go",36990,I281="Acer Aspire 3",38980)</f>
        <v>66989</v>
      </c>
      <c r="O281" s="5" t="s">
        <v>1030</v>
      </c>
    </row>
    <row r="282" spans="1:15" x14ac:dyDescent="0.35">
      <c r="A282" s="4">
        <v>15125</v>
      </c>
      <c r="B282" s="5" t="s">
        <v>258</v>
      </c>
      <c r="C282" s="5" t="s">
        <v>249</v>
      </c>
      <c r="D282" s="5" t="s">
        <v>1032</v>
      </c>
      <c r="E282" s="5" t="s">
        <v>1035</v>
      </c>
      <c r="F282" s="5" t="s">
        <v>1012</v>
      </c>
      <c r="G282" s="3" t="s">
        <v>1017</v>
      </c>
      <c r="H282" s="5" t="s">
        <v>536</v>
      </c>
      <c r="I282" s="5" t="s">
        <v>1024</v>
      </c>
      <c r="J282" s="4">
        <v>4537</v>
      </c>
      <c r="K282" s="1">
        <v>43973</v>
      </c>
      <c r="L282" s="1">
        <v>43974</v>
      </c>
      <c r="M282" s="4">
        <v>8</v>
      </c>
      <c r="N282" s="7" cm="1">
        <f t="array" ref="N282">_xlfn.IFS(I282="Dell Inspiron 15",66989,I282="Lenovo IdeaPad Slim 3i",34690,I282="Mi NoteBook Ultra",57999,I282="Samsung Galaxy Go",36990,I282="Acer Aspire 3",38980)</f>
        <v>34690</v>
      </c>
      <c r="O282" s="5" t="s">
        <v>1030</v>
      </c>
    </row>
    <row r="283" spans="1:15" x14ac:dyDescent="0.35">
      <c r="A283" s="4">
        <v>23185</v>
      </c>
      <c r="B283" s="5" t="s">
        <v>537</v>
      </c>
      <c r="C283" s="5" t="s">
        <v>487</v>
      </c>
      <c r="D283" s="5" t="s">
        <v>1032</v>
      </c>
      <c r="E283" s="5" t="s">
        <v>1035</v>
      </c>
      <c r="F283" s="5" t="s">
        <v>1012</v>
      </c>
      <c r="G283" s="3" t="s">
        <v>1017</v>
      </c>
      <c r="H283" s="5" t="s">
        <v>538</v>
      </c>
      <c r="I283" s="5" t="s">
        <v>1025</v>
      </c>
      <c r="J283" s="4">
        <v>4944</v>
      </c>
      <c r="K283" s="1">
        <v>43882</v>
      </c>
      <c r="L283" s="1">
        <v>43882</v>
      </c>
      <c r="M283" s="4">
        <v>7</v>
      </c>
      <c r="N283" s="7" cm="1">
        <f t="array" ref="N283">_xlfn.IFS(I283="Dell Inspiron 15",66989,I283="Lenovo IdeaPad Slim 3i",34690,I283="Mi NoteBook Ultra",57999,I283="Samsung Galaxy Go",36990,I283="Acer Aspire 3",38980)</f>
        <v>57999</v>
      </c>
      <c r="O283" s="5" t="s">
        <v>1030</v>
      </c>
    </row>
    <row r="284" spans="1:15" x14ac:dyDescent="0.35">
      <c r="A284" s="4">
        <v>24572</v>
      </c>
      <c r="B284" s="5" t="s">
        <v>146</v>
      </c>
      <c r="C284" s="5" t="s">
        <v>140</v>
      </c>
      <c r="D284" s="5" t="s">
        <v>1032</v>
      </c>
      <c r="E284" s="5" t="s">
        <v>1036</v>
      </c>
      <c r="F284" s="5" t="s">
        <v>1013</v>
      </c>
      <c r="G284" s="3" t="s">
        <v>1018</v>
      </c>
      <c r="H284" s="5" t="s">
        <v>539</v>
      </c>
      <c r="I284" s="5" t="s">
        <v>1026</v>
      </c>
      <c r="J284" s="4">
        <v>4644</v>
      </c>
      <c r="K284" s="1">
        <v>43973</v>
      </c>
      <c r="L284" s="1">
        <v>43973</v>
      </c>
      <c r="M284" s="4">
        <v>9</v>
      </c>
      <c r="N284" s="7" cm="1">
        <f t="array" ref="N284">_xlfn.IFS(I284="Dell Inspiron 15",66989,I284="Lenovo IdeaPad Slim 3i",34690,I284="Mi NoteBook Ultra",57999,I284="Samsung Galaxy Go",36990,I284="Acer Aspire 3",38980)</f>
        <v>36990</v>
      </c>
      <c r="O284" s="5" t="s">
        <v>1030</v>
      </c>
    </row>
    <row r="285" spans="1:15" x14ac:dyDescent="0.35">
      <c r="A285" s="4">
        <v>24817</v>
      </c>
      <c r="B285" s="5" t="s">
        <v>340</v>
      </c>
      <c r="C285" s="5" t="s">
        <v>366</v>
      </c>
      <c r="D285" s="5" t="s">
        <v>1032</v>
      </c>
      <c r="E285" s="5" t="s">
        <v>1033</v>
      </c>
      <c r="F285" s="5" t="s">
        <v>1010</v>
      </c>
      <c r="G285" s="3" t="s">
        <v>1015</v>
      </c>
      <c r="H285" s="5" t="s">
        <v>540</v>
      </c>
      <c r="I285" s="5" t="s">
        <v>1027</v>
      </c>
      <c r="J285" s="4">
        <v>5076</v>
      </c>
      <c r="K285" s="1">
        <v>43973</v>
      </c>
      <c r="L285" s="1">
        <v>43974</v>
      </c>
      <c r="M285" s="4">
        <v>5</v>
      </c>
      <c r="N285" s="7" cm="1">
        <f t="array" ref="N285">_xlfn.IFS(I285="Dell Inspiron 15",66989,I285="Lenovo IdeaPad Slim 3i",34690,I285="Mi NoteBook Ultra",57999,I285="Samsung Galaxy Go",36990,I285="Acer Aspire 3",38980)</f>
        <v>38980</v>
      </c>
      <c r="O285" s="5" t="s">
        <v>1030</v>
      </c>
    </row>
    <row r="286" spans="1:15" x14ac:dyDescent="0.35">
      <c r="A286" s="4">
        <v>15605</v>
      </c>
      <c r="B286" s="5" t="s">
        <v>55</v>
      </c>
      <c r="C286" s="5" t="s">
        <v>271</v>
      </c>
      <c r="D286" s="5" t="s">
        <v>1032</v>
      </c>
      <c r="E286" s="5" t="s">
        <v>1034</v>
      </c>
      <c r="F286" s="5" t="s">
        <v>1011</v>
      </c>
      <c r="G286" s="3" t="s">
        <v>1016</v>
      </c>
      <c r="H286" s="5" t="s">
        <v>541</v>
      </c>
      <c r="I286" s="5" t="s">
        <v>1023</v>
      </c>
      <c r="J286" s="4">
        <v>4656</v>
      </c>
      <c r="K286" s="1">
        <v>43873</v>
      </c>
      <c r="L286" s="1">
        <v>43874</v>
      </c>
      <c r="M286" s="4">
        <v>6</v>
      </c>
      <c r="N286" s="7" cm="1">
        <f t="array" ref="N286">_xlfn.IFS(I286="Dell Inspiron 15",66989,I286="Lenovo IdeaPad Slim 3i",34690,I286="Mi NoteBook Ultra",57999,I286="Samsung Galaxy Go",36990,I286="Acer Aspire 3",38980)</f>
        <v>66989</v>
      </c>
      <c r="O286" s="5" t="s">
        <v>1030</v>
      </c>
    </row>
    <row r="287" spans="1:15" x14ac:dyDescent="0.35">
      <c r="A287" s="4">
        <v>22892</v>
      </c>
      <c r="B287" s="5" t="s">
        <v>528</v>
      </c>
      <c r="C287" s="5" t="s">
        <v>91</v>
      </c>
      <c r="D287" s="5" t="s">
        <v>1032</v>
      </c>
      <c r="E287" s="5" t="s">
        <v>1033</v>
      </c>
      <c r="F287" s="5" t="s">
        <v>1010</v>
      </c>
      <c r="G287" s="3" t="s">
        <v>1015</v>
      </c>
      <c r="H287" s="5" t="s">
        <v>542</v>
      </c>
      <c r="I287" s="5" t="s">
        <v>1025</v>
      </c>
      <c r="J287" s="4">
        <v>5451</v>
      </c>
      <c r="K287" s="1">
        <v>43873</v>
      </c>
      <c r="L287" s="1">
        <v>43876</v>
      </c>
      <c r="M287" s="4">
        <v>9</v>
      </c>
      <c r="N287" s="7" cm="1">
        <f t="array" ref="N287">_xlfn.IFS(I287="Dell Inspiron 15",66989,I287="Lenovo IdeaPad Slim 3i",34690,I287="Mi NoteBook Ultra",57999,I287="Samsung Galaxy Go",36990,I287="Acer Aspire 3",38980)</f>
        <v>57999</v>
      </c>
      <c r="O287" s="5" t="s">
        <v>1030</v>
      </c>
    </row>
    <row r="288" spans="1:15" x14ac:dyDescent="0.35">
      <c r="A288" s="4">
        <v>18738</v>
      </c>
      <c r="B288" s="5" t="s">
        <v>524</v>
      </c>
      <c r="C288" s="5" t="s">
        <v>117</v>
      </c>
      <c r="D288" s="5" t="s">
        <v>1032</v>
      </c>
      <c r="E288" s="5" t="s">
        <v>1035</v>
      </c>
      <c r="F288" s="5" t="s">
        <v>1012</v>
      </c>
      <c r="G288" s="3" t="s">
        <v>1017</v>
      </c>
      <c r="H288" s="5" t="s">
        <v>543</v>
      </c>
      <c r="I288" s="5" t="s">
        <v>1027</v>
      </c>
      <c r="J288" s="4">
        <v>5065</v>
      </c>
      <c r="K288" s="1">
        <v>43930</v>
      </c>
      <c r="L288" s="1">
        <v>43932</v>
      </c>
      <c r="M288" s="4">
        <v>5</v>
      </c>
      <c r="N288" s="7" cm="1">
        <f t="array" ref="N288">_xlfn.IFS(I288="Dell Inspiron 15",66989,I288="Lenovo IdeaPad Slim 3i",34690,I288="Mi NoteBook Ultra",57999,I288="Samsung Galaxy Go",36990,I288="Acer Aspire 3",38980)</f>
        <v>38980</v>
      </c>
      <c r="O288" s="5" t="s">
        <v>1030</v>
      </c>
    </row>
    <row r="289" spans="1:15" x14ac:dyDescent="0.35">
      <c r="A289" s="4">
        <v>15892</v>
      </c>
      <c r="B289" s="5" t="s">
        <v>57</v>
      </c>
      <c r="C289" s="5" t="s">
        <v>348</v>
      </c>
      <c r="D289" s="5" t="s">
        <v>1032</v>
      </c>
      <c r="E289" s="5" t="s">
        <v>1035</v>
      </c>
      <c r="F289" s="5" t="s">
        <v>1012</v>
      </c>
      <c r="G289" s="3" t="s">
        <v>1017</v>
      </c>
      <c r="H289" s="5" t="s">
        <v>544</v>
      </c>
      <c r="I289" s="5" t="s">
        <v>1023</v>
      </c>
      <c r="J289" s="4">
        <v>5332</v>
      </c>
      <c r="K289" s="1">
        <v>43930</v>
      </c>
      <c r="L289" s="1">
        <v>43930</v>
      </c>
      <c r="M289" s="4">
        <v>3</v>
      </c>
      <c r="N289" s="7" cm="1">
        <f t="array" ref="N289">_xlfn.IFS(I289="Dell Inspiron 15",66989,I289="Lenovo IdeaPad Slim 3i",34690,I289="Mi NoteBook Ultra",57999,I289="Samsung Galaxy Go",36990,I289="Acer Aspire 3",38980)</f>
        <v>66989</v>
      </c>
      <c r="O289" s="5" t="s">
        <v>1030</v>
      </c>
    </row>
    <row r="290" spans="1:15" x14ac:dyDescent="0.35">
      <c r="A290" s="4">
        <v>19747</v>
      </c>
      <c r="B290" s="5" t="s">
        <v>203</v>
      </c>
      <c r="C290" s="5" t="s">
        <v>262</v>
      </c>
      <c r="D290" s="5" t="s">
        <v>1032</v>
      </c>
      <c r="E290" s="5" t="s">
        <v>1035</v>
      </c>
      <c r="F290" s="5" t="s">
        <v>1012</v>
      </c>
      <c r="G290" s="3" t="s">
        <v>1017</v>
      </c>
      <c r="H290" s="5" t="s">
        <v>545</v>
      </c>
      <c r="I290" s="5" t="s">
        <v>1024</v>
      </c>
      <c r="J290" s="4">
        <v>4925</v>
      </c>
      <c r="K290" s="1">
        <v>43930</v>
      </c>
      <c r="L290" s="1">
        <v>43931</v>
      </c>
      <c r="M290" s="4">
        <v>1</v>
      </c>
      <c r="N290" s="7" cm="1">
        <f t="array" ref="N290">_xlfn.IFS(I290="Dell Inspiron 15",66989,I290="Lenovo IdeaPad Slim 3i",34690,I290="Mi NoteBook Ultra",57999,I290="Samsung Galaxy Go",36990,I290="Acer Aspire 3",38980)</f>
        <v>34690</v>
      </c>
      <c r="O290" s="5" t="s">
        <v>1030</v>
      </c>
    </row>
    <row r="291" spans="1:15" x14ac:dyDescent="0.35">
      <c r="A291" s="4">
        <v>23731</v>
      </c>
      <c r="B291" s="5" t="s">
        <v>546</v>
      </c>
      <c r="C291" s="5" t="s">
        <v>447</v>
      </c>
      <c r="D291" s="5" t="s">
        <v>1032</v>
      </c>
      <c r="E291" s="5" t="s">
        <v>1035</v>
      </c>
      <c r="F291" s="5" t="s">
        <v>1012</v>
      </c>
      <c r="G291" s="3" t="s">
        <v>1017</v>
      </c>
      <c r="H291" s="5" t="s">
        <v>547</v>
      </c>
      <c r="I291" s="5" t="s">
        <v>1026</v>
      </c>
      <c r="J291" s="4">
        <v>5081</v>
      </c>
      <c r="K291" s="1">
        <v>43833</v>
      </c>
      <c r="L291" s="1">
        <v>43835</v>
      </c>
      <c r="M291" s="4">
        <v>2</v>
      </c>
      <c r="N291" s="7" cm="1">
        <f t="array" ref="N291">_xlfn.IFS(I291="Dell Inspiron 15",66989,I291="Lenovo IdeaPad Slim 3i",34690,I291="Mi NoteBook Ultra",57999,I291="Samsung Galaxy Go",36990,I291="Acer Aspire 3",38980)</f>
        <v>36990</v>
      </c>
      <c r="O291" s="5" t="s">
        <v>1030</v>
      </c>
    </row>
    <row r="292" spans="1:15" x14ac:dyDescent="0.35">
      <c r="A292" s="4">
        <v>23711</v>
      </c>
      <c r="B292" s="5" t="s">
        <v>3</v>
      </c>
      <c r="C292" s="5" t="s">
        <v>7</v>
      </c>
      <c r="D292" s="5" t="s">
        <v>1032</v>
      </c>
      <c r="E292" s="5" t="s">
        <v>1036</v>
      </c>
      <c r="F292" s="5" t="s">
        <v>1013</v>
      </c>
      <c r="G292" s="3" t="s">
        <v>1018</v>
      </c>
      <c r="H292" s="5" t="s">
        <v>548</v>
      </c>
      <c r="I292" s="5" t="s">
        <v>1023</v>
      </c>
      <c r="J292" s="4">
        <v>5135</v>
      </c>
      <c r="K292" s="1">
        <v>43920</v>
      </c>
      <c r="L292" s="1">
        <v>43922</v>
      </c>
      <c r="M292" s="4">
        <v>5</v>
      </c>
      <c r="N292" s="7" cm="1">
        <f t="array" ref="N292">_xlfn.IFS(I292="Dell Inspiron 15",66989,I292="Lenovo IdeaPad Slim 3i",34690,I292="Mi NoteBook Ultra",57999,I292="Samsung Galaxy Go",36990,I292="Acer Aspire 3",38980)</f>
        <v>66989</v>
      </c>
      <c r="O292" s="5" t="s">
        <v>1030</v>
      </c>
    </row>
    <row r="293" spans="1:15" x14ac:dyDescent="0.35">
      <c r="A293" s="4">
        <v>14774</v>
      </c>
      <c r="B293" s="5" t="s">
        <v>131</v>
      </c>
      <c r="C293" s="5" t="s">
        <v>475</v>
      </c>
      <c r="D293" s="5" t="s">
        <v>1032</v>
      </c>
      <c r="E293" s="5" t="s">
        <v>1033</v>
      </c>
      <c r="F293" s="5" t="s">
        <v>1010</v>
      </c>
      <c r="G293" s="3" t="s">
        <v>1015</v>
      </c>
      <c r="H293" s="5" t="s">
        <v>549</v>
      </c>
      <c r="I293" s="5" t="s">
        <v>1027</v>
      </c>
      <c r="J293" s="4">
        <v>5180</v>
      </c>
      <c r="K293" s="1">
        <v>43840</v>
      </c>
      <c r="L293" s="1">
        <v>43841</v>
      </c>
      <c r="M293" s="4">
        <v>5</v>
      </c>
      <c r="N293" s="7" cm="1">
        <f t="array" ref="N293">_xlfn.IFS(I293="Dell Inspiron 15",66989,I293="Lenovo IdeaPad Slim 3i",34690,I293="Mi NoteBook Ultra",57999,I293="Samsung Galaxy Go",36990,I293="Acer Aspire 3",38980)</f>
        <v>38980</v>
      </c>
      <c r="O293" s="5" t="s">
        <v>1030</v>
      </c>
    </row>
    <row r="294" spans="1:15" x14ac:dyDescent="0.35">
      <c r="A294" s="4">
        <v>24726</v>
      </c>
      <c r="B294" s="5" t="s">
        <v>32</v>
      </c>
      <c r="C294" s="5" t="s">
        <v>182</v>
      </c>
      <c r="D294" s="5" t="s">
        <v>1032</v>
      </c>
      <c r="E294" s="5" t="s">
        <v>1034</v>
      </c>
      <c r="F294" s="5" t="s">
        <v>1011</v>
      </c>
      <c r="G294" s="3" t="s">
        <v>1016</v>
      </c>
      <c r="H294" s="5" t="s">
        <v>550</v>
      </c>
      <c r="I294" s="5" t="s">
        <v>1025</v>
      </c>
      <c r="J294" s="4">
        <v>5079</v>
      </c>
      <c r="K294" s="1">
        <v>43920</v>
      </c>
      <c r="L294" s="1">
        <v>43922</v>
      </c>
      <c r="M294" s="4">
        <v>3</v>
      </c>
      <c r="N294" s="7" cm="1">
        <f t="array" ref="N294">_xlfn.IFS(I294="Dell Inspiron 15",66989,I294="Lenovo IdeaPad Slim 3i",34690,I294="Mi NoteBook Ultra",57999,I294="Samsung Galaxy Go",36990,I294="Acer Aspire 3",38980)</f>
        <v>57999</v>
      </c>
      <c r="O294" s="5" t="s">
        <v>1030</v>
      </c>
    </row>
    <row r="295" spans="1:15" x14ac:dyDescent="0.35">
      <c r="A295" s="4">
        <v>14797</v>
      </c>
      <c r="B295" s="5" t="s">
        <v>151</v>
      </c>
      <c r="C295" s="5" t="s">
        <v>428</v>
      </c>
      <c r="D295" s="5" t="s">
        <v>1032</v>
      </c>
      <c r="E295" s="5" t="s">
        <v>1033</v>
      </c>
      <c r="F295" s="5" t="s">
        <v>1010</v>
      </c>
      <c r="G295" s="3" t="s">
        <v>1015</v>
      </c>
      <c r="H295" s="5" t="s">
        <v>551</v>
      </c>
      <c r="I295" s="5" t="s">
        <v>1026</v>
      </c>
      <c r="J295" s="4">
        <v>4788</v>
      </c>
      <c r="K295" s="1">
        <v>43923</v>
      </c>
      <c r="L295" s="1">
        <v>43925</v>
      </c>
      <c r="M295" s="4">
        <v>10</v>
      </c>
      <c r="N295" s="7" cm="1">
        <f t="array" ref="N295">_xlfn.IFS(I295="Dell Inspiron 15",66989,I295="Lenovo IdeaPad Slim 3i",34690,I295="Mi NoteBook Ultra",57999,I295="Samsung Galaxy Go",36990,I295="Acer Aspire 3",38980)</f>
        <v>36990</v>
      </c>
      <c r="O295" s="5" t="s">
        <v>1030</v>
      </c>
    </row>
    <row r="296" spans="1:15" x14ac:dyDescent="0.35">
      <c r="A296" s="4">
        <v>14086</v>
      </c>
      <c r="B296" s="5" t="s">
        <v>552</v>
      </c>
      <c r="C296" s="5" t="s">
        <v>114</v>
      </c>
      <c r="D296" s="5" t="s">
        <v>1032</v>
      </c>
      <c r="E296" s="5" t="s">
        <v>1035</v>
      </c>
      <c r="F296" s="5" t="s">
        <v>1012</v>
      </c>
      <c r="G296" s="3" t="s">
        <v>1017</v>
      </c>
      <c r="H296" s="5" t="s">
        <v>553</v>
      </c>
      <c r="I296" s="5" t="s">
        <v>1027</v>
      </c>
      <c r="J296" s="4">
        <v>5362</v>
      </c>
      <c r="K296" s="1">
        <v>43923</v>
      </c>
      <c r="L296" s="1">
        <v>43925</v>
      </c>
      <c r="M296" s="4">
        <v>8</v>
      </c>
      <c r="N296" s="7" cm="1">
        <f t="array" ref="N296">_xlfn.IFS(I296="Dell Inspiron 15",66989,I296="Lenovo IdeaPad Slim 3i",34690,I296="Mi NoteBook Ultra",57999,I296="Samsung Galaxy Go",36990,I296="Acer Aspire 3",38980)</f>
        <v>38980</v>
      </c>
      <c r="O296" s="5" t="s">
        <v>1030</v>
      </c>
    </row>
    <row r="297" spans="1:15" x14ac:dyDescent="0.35">
      <c r="A297" s="4">
        <v>25040</v>
      </c>
      <c r="B297" s="5" t="s">
        <v>390</v>
      </c>
      <c r="C297" s="5" t="s">
        <v>117</v>
      </c>
      <c r="D297" s="5" t="s">
        <v>1032</v>
      </c>
      <c r="E297" s="5" t="s">
        <v>1035</v>
      </c>
      <c r="F297" s="5" t="s">
        <v>1012</v>
      </c>
      <c r="G297" s="3" t="s">
        <v>1017</v>
      </c>
      <c r="H297" s="5" t="s">
        <v>554</v>
      </c>
      <c r="I297" s="5" t="s">
        <v>1023</v>
      </c>
      <c r="J297" s="4">
        <v>4660</v>
      </c>
      <c r="K297" s="1">
        <v>43948</v>
      </c>
      <c r="L297" s="1">
        <v>43949</v>
      </c>
      <c r="M297" s="4">
        <v>9</v>
      </c>
      <c r="N297" s="7" cm="1">
        <f t="array" ref="N297">_xlfn.IFS(I297="Dell Inspiron 15",66989,I297="Lenovo IdeaPad Slim 3i",34690,I297="Mi NoteBook Ultra",57999,I297="Samsung Galaxy Go",36990,I297="Acer Aspire 3",38980)</f>
        <v>66989</v>
      </c>
      <c r="O297" s="5" t="s">
        <v>1030</v>
      </c>
    </row>
    <row r="298" spans="1:15" x14ac:dyDescent="0.35">
      <c r="A298" s="4">
        <v>20122</v>
      </c>
      <c r="B298" s="5" t="s">
        <v>66</v>
      </c>
      <c r="C298" s="5" t="s">
        <v>21</v>
      </c>
      <c r="D298" s="5" t="s">
        <v>1032</v>
      </c>
      <c r="E298" s="5" t="s">
        <v>1035</v>
      </c>
      <c r="F298" s="5" t="s">
        <v>1012</v>
      </c>
      <c r="G298" s="3" t="s">
        <v>1017</v>
      </c>
      <c r="H298" s="5" t="s">
        <v>555</v>
      </c>
      <c r="I298" s="5" t="s">
        <v>1025</v>
      </c>
      <c r="J298" s="4">
        <v>5137</v>
      </c>
      <c r="K298" s="1">
        <v>43846</v>
      </c>
      <c r="L298" s="1">
        <v>43848</v>
      </c>
      <c r="M298" s="4">
        <v>1</v>
      </c>
      <c r="N298" s="7" cm="1">
        <f t="array" ref="N298">_xlfn.IFS(I298="Dell Inspiron 15",66989,I298="Lenovo IdeaPad Slim 3i",34690,I298="Mi NoteBook Ultra",57999,I298="Samsung Galaxy Go",36990,I298="Acer Aspire 3",38980)</f>
        <v>57999</v>
      </c>
      <c r="O298" s="5" t="s">
        <v>1030</v>
      </c>
    </row>
    <row r="299" spans="1:15" x14ac:dyDescent="0.35">
      <c r="A299" s="4">
        <v>24441</v>
      </c>
      <c r="B299" s="5" t="s">
        <v>223</v>
      </c>
      <c r="C299" s="5" t="s">
        <v>72</v>
      </c>
      <c r="D299" s="5" t="s">
        <v>1032</v>
      </c>
      <c r="E299" s="5" t="s">
        <v>1036</v>
      </c>
      <c r="F299" s="5" t="s">
        <v>1013</v>
      </c>
      <c r="G299" s="3" t="s">
        <v>1018</v>
      </c>
      <c r="H299" s="5" t="s">
        <v>556</v>
      </c>
      <c r="I299" s="5" t="s">
        <v>1027</v>
      </c>
      <c r="J299" s="4">
        <v>4851</v>
      </c>
      <c r="K299" s="1">
        <v>43847</v>
      </c>
      <c r="L299" s="1">
        <v>43851</v>
      </c>
      <c r="M299" s="4">
        <v>8</v>
      </c>
      <c r="N299" s="7" cm="1">
        <f t="array" ref="N299">_xlfn.IFS(I299="Dell Inspiron 15",66989,I299="Lenovo IdeaPad Slim 3i",34690,I299="Mi NoteBook Ultra",57999,I299="Samsung Galaxy Go",36990,I299="Acer Aspire 3",38980)</f>
        <v>38980</v>
      </c>
      <c r="O299" s="5" t="s">
        <v>1030</v>
      </c>
    </row>
    <row r="300" spans="1:15" x14ac:dyDescent="0.35">
      <c r="A300" s="4">
        <v>14159</v>
      </c>
      <c r="B300" s="5" t="s">
        <v>214</v>
      </c>
      <c r="C300" s="5" t="s">
        <v>18</v>
      </c>
      <c r="D300" s="5" t="s">
        <v>1032</v>
      </c>
      <c r="E300" s="5" t="s">
        <v>1035</v>
      </c>
      <c r="F300" s="5" t="s">
        <v>1012</v>
      </c>
      <c r="G300" s="3" t="s">
        <v>1017</v>
      </c>
      <c r="H300" s="5" t="s">
        <v>557</v>
      </c>
      <c r="I300" s="5" t="s">
        <v>1023</v>
      </c>
      <c r="J300" s="4">
        <v>5119</v>
      </c>
      <c r="K300" s="1">
        <v>43984</v>
      </c>
      <c r="L300" s="1">
        <v>43984</v>
      </c>
      <c r="M300" s="4">
        <v>10</v>
      </c>
      <c r="N300" s="7" cm="1">
        <f t="array" ref="N300">_xlfn.IFS(I300="Dell Inspiron 15",66989,I300="Lenovo IdeaPad Slim 3i",34690,I300="Mi NoteBook Ultra",57999,I300="Samsung Galaxy Go",36990,I300="Acer Aspire 3",38980)</f>
        <v>66989</v>
      </c>
      <c r="O300" s="5" t="s">
        <v>1030</v>
      </c>
    </row>
    <row r="301" spans="1:15" x14ac:dyDescent="0.35">
      <c r="A301" s="4">
        <v>16363</v>
      </c>
      <c r="B301" s="5" t="s">
        <v>558</v>
      </c>
      <c r="C301" s="5" t="s">
        <v>4</v>
      </c>
      <c r="D301" s="5" t="s">
        <v>1032</v>
      </c>
      <c r="E301" s="5" t="s">
        <v>1035</v>
      </c>
      <c r="F301" s="5" t="s">
        <v>1012</v>
      </c>
      <c r="G301" s="3" t="s">
        <v>1017</v>
      </c>
      <c r="H301" s="5" t="s">
        <v>559</v>
      </c>
      <c r="I301" s="5" t="s">
        <v>1024</v>
      </c>
      <c r="J301" s="4">
        <v>4763</v>
      </c>
      <c r="K301" s="1">
        <v>43984</v>
      </c>
      <c r="L301" s="1">
        <v>43984</v>
      </c>
      <c r="M301" s="4">
        <v>1</v>
      </c>
      <c r="N301" s="7" cm="1">
        <f t="array" ref="N301">_xlfn.IFS(I301="Dell Inspiron 15",66989,I301="Lenovo IdeaPad Slim 3i",34690,I301="Mi NoteBook Ultra",57999,I301="Samsung Galaxy Go",36990,I301="Acer Aspire 3",38980)</f>
        <v>34690</v>
      </c>
      <c r="O301" s="5" t="s">
        <v>1030</v>
      </c>
    </row>
    <row r="302" spans="1:15" x14ac:dyDescent="0.35">
      <c r="A302" s="4">
        <v>19642</v>
      </c>
      <c r="B302" s="5" t="s">
        <v>41</v>
      </c>
      <c r="C302" s="5" t="s">
        <v>379</v>
      </c>
      <c r="D302" s="5" t="s">
        <v>1032</v>
      </c>
      <c r="E302" s="5" t="s">
        <v>1036</v>
      </c>
      <c r="F302" s="5" t="s">
        <v>1013</v>
      </c>
      <c r="G302" s="3" t="s">
        <v>1018</v>
      </c>
      <c r="H302" s="5" t="s">
        <v>560</v>
      </c>
      <c r="I302" s="5" t="s">
        <v>1023</v>
      </c>
      <c r="J302" s="4">
        <v>4738</v>
      </c>
      <c r="K302" s="1">
        <v>43963</v>
      </c>
      <c r="L302" s="1">
        <v>43964</v>
      </c>
      <c r="M302" s="4">
        <v>9</v>
      </c>
      <c r="N302" s="7" cm="1">
        <f t="array" ref="N302">_xlfn.IFS(I302="Dell Inspiron 15",66989,I302="Lenovo IdeaPad Slim 3i",34690,I302="Mi NoteBook Ultra",57999,I302="Samsung Galaxy Go",36990,I302="Acer Aspire 3",38980)</f>
        <v>66989</v>
      </c>
      <c r="O302" s="5" t="s">
        <v>1030</v>
      </c>
    </row>
    <row r="303" spans="1:15" x14ac:dyDescent="0.35">
      <c r="A303" s="4">
        <v>16043</v>
      </c>
      <c r="B303" s="5" t="s">
        <v>460</v>
      </c>
      <c r="C303" s="5" t="s">
        <v>171</v>
      </c>
      <c r="D303" s="5" t="s">
        <v>1032</v>
      </c>
      <c r="E303" s="5" t="s">
        <v>1036</v>
      </c>
      <c r="F303" s="5" t="s">
        <v>1013</v>
      </c>
      <c r="G303" s="3" t="s">
        <v>1018</v>
      </c>
      <c r="H303" s="5" t="s">
        <v>561</v>
      </c>
      <c r="I303" s="5" t="s">
        <v>1024</v>
      </c>
      <c r="J303" s="4">
        <v>4832</v>
      </c>
      <c r="K303" s="1">
        <v>43929</v>
      </c>
      <c r="L303" s="1">
        <v>43930</v>
      </c>
      <c r="M303" s="4">
        <v>10</v>
      </c>
      <c r="N303" s="7" cm="1">
        <f t="array" ref="N303">_xlfn.IFS(I303="Dell Inspiron 15",66989,I303="Lenovo IdeaPad Slim 3i",34690,I303="Mi NoteBook Ultra",57999,I303="Samsung Galaxy Go",36990,I303="Acer Aspire 3",38980)</f>
        <v>34690</v>
      </c>
      <c r="O303" s="5" t="s">
        <v>1030</v>
      </c>
    </row>
    <row r="304" spans="1:15" x14ac:dyDescent="0.35">
      <c r="A304" s="4">
        <v>22469</v>
      </c>
      <c r="B304" s="5" t="s">
        <v>293</v>
      </c>
      <c r="C304" s="5" t="s">
        <v>30</v>
      </c>
      <c r="D304" s="5" t="s">
        <v>1032</v>
      </c>
      <c r="E304" s="5" t="s">
        <v>1033</v>
      </c>
      <c r="F304" s="5" t="s">
        <v>1010</v>
      </c>
      <c r="G304" s="3" t="s">
        <v>1015</v>
      </c>
      <c r="H304" s="5" t="s">
        <v>562</v>
      </c>
      <c r="I304" s="5" t="s">
        <v>1025</v>
      </c>
      <c r="J304" s="4">
        <v>4881</v>
      </c>
      <c r="K304" s="1">
        <v>43979</v>
      </c>
      <c r="L304" s="1">
        <v>43979</v>
      </c>
      <c r="M304" s="4">
        <v>7</v>
      </c>
      <c r="N304" s="7" cm="1">
        <f t="array" ref="N304">_xlfn.IFS(I304="Dell Inspiron 15",66989,I304="Lenovo IdeaPad Slim 3i",34690,I304="Mi NoteBook Ultra",57999,I304="Samsung Galaxy Go",36990,I304="Acer Aspire 3",38980)</f>
        <v>57999</v>
      </c>
      <c r="O304" s="5" t="s">
        <v>1030</v>
      </c>
    </row>
    <row r="305" spans="1:15" x14ac:dyDescent="0.35">
      <c r="A305" s="4">
        <v>16888</v>
      </c>
      <c r="B305" s="5" t="s">
        <v>537</v>
      </c>
      <c r="C305" s="5" t="s">
        <v>291</v>
      </c>
      <c r="D305" s="5" t="s">
        <v>1032</v>
      </c>
      <c r="E305" s="5" t="s">
        <v>1034</v>
      </c>
      <c r="F305" s="5" t="s">
        <v>1011</v>
      </c>
      <c r="G305" s="3" t="s">
        <v>1016</v>
      </c>
      <c r="H305" s="5" t="s">
        <v>563</v>
      </c>
      <c r="I305" s="5" t="s">
        <v>1026</v>
      </c>
      <c r="J305" s="4">
        <v>5119</v>
      </c>
      <c r="K305" s="1">
        <v>43873</v>
      </c>
      <c r="L305" s="1">
        <v>43876</v>
      </c>
      <c r="M305" s="4">
        <v>9</v>
      </c>
      <c r="N305" s="7" cm="1">
        <f t="array" ref="N305">_xlfn.IFS(I305="Dell Inspiron 15",66989,I305="Lenovo IdeaPad Slim 3i",34690,I305="Mi NoteBook Ultra",57999,I305="Samsung Galaxy Go",36990,I305="Acer Aspire 3",38980)</f>
        <v>36990</v>
      </c>
      <c r="O305" s="5" t="s">
        <v>1030</v>
      </c>
    </row>
    <row r="306" spans="1:15" x14ac:dyDescent="0.35">
      <c r="A306" s="4">
        <v>14965</v>
      </c>
      <c r="B306" s="5" t="s">
        <v>383</v>
      </c>
      <c r="C306" s="5" t="s">
        <v>200</v>
      </c>
      <c r="D306" s="5" t="s">
        <v>1032</v>
      </c>
      <c r="E306" s="5" t="s">
        <v>1033</v>
      </c>
      <c r="F306" s="5" t="s">
        <v>1010</v>
      </c>
      <c r="G306" s="3" t="s">
        <v>1015</v>
      </c>
      <c r="H306" s="5" t="s">
        <v>564</v>
      </c>
      <c r="I306" s="5" t="s">
        <v>1027</v>
      </c>
      <c r="J306" s="4">
        <v>5322</v>
      </c>
      <c r="K306" s="1">
        <v>43873</v>
      </c>
      <c r="L306" s="1">
        <v>43875</v>
      </c>
      <c r="M306" s="4">
        <v>3</v>
      </c>
      <c r="N306" s="7" cm="1">
        <f t="array" ref="N306">_xlfn.IFS(I306="Dell Inspiron 15",66989,I306="Lenovo IdeaPad Slim 3i",34690,I306="Mi NoteBook Ultra",57999,I306="Samsung Galaxy Go",36990,I306="Acer Aspire 3",38980)</f>
        <v>38980</v>
      </c>
      <c r="O306" s="5" t="s">
        <v>1030</v>
      </c>
    </row>
    <row r="307" spans="1:15" x14ac:dyDescent="0.35">
      <c r="A307" s="4">
        <v>12601</v>
      </c>
      <c r="B307" s="5" t="s">
        <v>80</v>
      </c>
      <c r="C307" s="5" t="s">
        <v>111</v>
      </c>
      <c r="D307" s="5" t="s">
        <v>1032</v>
      </c>
      <c r="E307" s="5" t="s">
        <v>1035</v>
      </c>
      <c r="F307" s="5" t="s">
        <v>1012</v>
      </c>
      <c r="G307" s="3" t="s">
        <v>1017</v>
      </c>
      <c r="H307" s="5" t="s">
        <v>565</v>
      </c>
      <c r="I307" s="5" t="s">
        <v>1023</v>
      </c>
      <c r="J307" s="4">
        <v>4630</v>
      </c>
      <c r="K307" s="1">
        <v>43966</v>
      </c>
      <c r="L307" s="1">
        <v>43967</v>
      </c>
      <c r="M307" s="4">
        <v>7</v>
      </c>
      <c r="N307" s="7" cm="1">
        <f t="array" ref="N307">_xlfn.IFS(I307="Dell Inspiron 15",66989,I307="Lenovo IdeaPad Slim 3i",34690,I307="Mi NoteBook Ultra",57999,I307="Samsung Galaxy Go",36990,I307="Acer Aspire 3",38980)</f>
        <v>66989</v>
      </c>
      <c r="O307" s="5" t="s">
        <v>1030</v>
      </c>
    </row>
    <row r="308" spans="1:15" x14ac:dyDescent="0.35">
      <c r="A308" s="4">
        <v>17451</v>
      </c>
      <c r="B308" s="5" t="s">
        <v>340</v>
      </c>
      <c r="C308" s="5" t="s">
        <v>566</v>
      </c>
      <c r="D308" s="5" t="s">
        <v>1032</v>
      </c>
      <c r="E308" s="5" t="s">
        <v>1035</v>
      </c>
      <c r="F308" s="5" t="s">
        <v>1012</v>
      </c>
      <c r="G308" s="3" t="s">
        <v>1017</v>
      </c>
      <c r="H308" s="5" t="s">
        <v>567</v>
      </c>
      <c r="I308" s="5" t="s">
        <v>1025</v>
      </c>
      <c r="J308" s="4">
        <v>4716</v>
      </c>
      <c r="K308" s="1">
        <v>43972</v>
      </c>
      <c r="L308" s="1">
        <v>43974</v>
      </c>
      <c r="M308" s="4">
        <v>2</v>
      </c>
      <c r="N308" s="7" cm="1">
        <f t="array" ref="N308">_xlfn.IFS(I308="Dell Inspiron 15",66989,I308="Lenovo IdeaPad Slim 3i",34690,I308="Mi NoteBook Ultra",57999,I308="Samsung Galaxy Go",36990,I308="Acer Aspire 3",38980)</f>
        <v>57999</v>
      </c>
      <c r="O308" s="5" t="s">
        <v>1030</v>
      </c>
    </row>
    <row r="309" spans="1:15" x14ac:dyDescent="0.35">
      <c r="A309" s="4">
        <v>23415</v>
      </c>
      <c r="B309" s="5" t="s">
        <v>3</v>
      </c>
      <c r="C309" s="5" t="s">
        <v>469</v>
      </c>
      <c r="D309" s="5" t="s">
        <v>1032</v>
      </c>
      <c r="E309" s="5" t="s">
        <v>1036</v>
      </c>
      <c r="F309" s="5" t="s">
        <v>1013</v>
      </c>
      <c r="G309" s="3" t="s">
        <v>1018</v>
      </c>
      <c r="H309" s="5" t="s">
        <v>568</v>
      </c>
      <c r="I309" s="5" t="s">
        <v>1027</v>
      </c>
      <c r="J309" s="4">
        <v>4913</v>
      </c>
      <c r="K309" s="1">
        <v>43966</v>
      </c>
      <c r="L309" s="1">
        <v>43967</v>
      </c>
      <c r="M309" s="4">
        <v>7</v>
      </c>
      <c r="N309" s="7" cm="1">
        <f t="array" ref="N309">_xlfn.IFS(I309="Dell Inspiron 15",66989,I309="Lenovo IdeaPad Slim 3i",34690,I309="Mi NoteBook Ultra",57999,I309="Samsung Galaxy Go",36990,I309="Acer Aspire 3",38980)</f>
        <v>38980</v>
      </c>
      <c r="O309" s="5" t="s">
        <v>1030</v>
      </c>
    </row>
    <row r="310" spans="1:15" x14ac:dyDescent="0.35">
      <c r="A310" s="4">
        <v>20367</v>
      </c>
      <c r="B310" s="5" t="s">
        <v>569</v>
      </c>
      <c r="C310" s="5" t="s">
        <v>149</v>
      </c>
      <c r="D310" s="5" t="s">
        <v>1032</v>
      </c>
      <c r="E310" s="5" t="s">
        <v>1033</v>
      </c>
      <c r="F310" s="5" t="s">
        <v>1010</v>
      </c>
      <c r="G310" s="3" t="s">
        <v>1015</v>
      </c>
      <c r="H310" s="5" t="s">
        <v>570</v>
      </c>
      <c r="I310" s="5" t="s">
        <v>1023</v>
      </c>
      <c r="J310" s="4">
        <v>4735</v>
      </c>
      <c r="K310" s="1">
        <v>43972</v>
      </c>
      <c r="L310" s="1">
        <v>43973</v>
      </c>
      <c r="M310" s="4">
        <v>10</v>
      </c>
      <c r="N310" s="7" cm="1">
        <f t="array" ref="N310">_xlfn.IFS(I310="Dell Inspiron 15",66989,I310="Lenovo IdeaPad Slim 3i",34690,I310="Mi NoteBook Ultra",57999,I310="Samsung Galaxy Go",36990,I310="Acer Aspire 3",38980)</f>
        <v>66989</v>
      </c>
      <c r="O310" s="5" t="s">
        <v>1030</v>
      </c>
    </row>
    <row r="311" spans="1:15" x14ac:dyDescent="0.35">
      <c r="A311" s="4">
        <v>23682</v>
      </c>
      <c r="B311" s="5" t="s">
        <v>383</v>
      </c>
      <c r="C311" s="5" t="s">
        <v>571</v>
      </c>
      <c r="D311" s="5" t="s">
        <v>1032</v>
      </c>
      <c r="E311" s="5" t="s">
        <v>1034</v>
      </c>
      <c r="F311" s="5" t="s">
        <v>1011</v>
      </c>
      <c r="G311" s="3" t="s">
        <v>1016</v>
      </c>
      <c r="H311" s="5" t="s">
        <v>572</v>
      </c>
      <c r="I311" s="5" t="s">
        <v>1024</v>
      </c>
      <c r="J311" s="4">
        <v>5344</v>
      </c>
      <c r="K311" s="1">
        <v>43972</v>
      </c>
      <c r="L311" s="1">
        <v>43974</v>
      </c>
      <c r="M311" s="4">
        <v>4</v>
      </c>
      <c r="N311" s="7" cm="1">
        <f t="array" ref="N311">_xlfn.IFS(I311="Dell Inspiron 15",66989,I311="Lenovo IdeaPad Slim 3i",34690,I311="Mi NoteBook Ultra",57999,I311="Samsung Galaxy Go",36990,I311="Acer Aspire 3",38980)</f>
        <v>34690</v>
      </c>
      <c r="O311" s="5" t="s">
        <v>1030</v>
      </c>
    </row>
    <row r="312" spans="1:15" x14ac:dyDescent="0.35">
      <c r="A312" s="4">
        <v>14105</v>
      </c>
      <c r="B312" s="5" t="s">
        <v>113</v>
      </c>
      <c r="C312" s="5" t="s">
        <v>75</v>
      </c>
      <c r="D312" s="5" t="s">
        <v>1032</v>
      </c>
      <c r="E312" s="5" t="s">
        <v>1033</v>
      </c>
      <c r="F312" s="5" t="s">
        <v>1010</v>
      </c>
      <c r="G312" s="3" t="s">
        <v>1015</v>
      </c>
      <c r="H312" s="5" t="s">
        <v>573</v>
      </c>
      <c r="I312" s="5" t="s">
        <v>1026</v>
      </c>
      <c r="J312" s="4">
        <v>5394</v>
      </c>
      <c r="K312" s="1">
        <v>43858</v>
      </c>
      <c r="L312" s="1">
        <v>43859</v>
      </c>
      <c r="M312" s="4">
        <v>7</v>
      </c>
      <c r="N312" s="7" cm="1">
        <f t="array" ref="N312">_xlfn.IFS(I312="Dell Inspiron 15",66989,I312="Lenovo IdeaPad Slim 3i",34690,I312="Mi NoteBook Ultra",57999,I312="Samsung Galaxy Go",36990,I312="Acer Aspire 3",38980)</f>
        <v>36990</v>
      </c>
      <c r="O312" s="5" t="s">
        <v>1030</v>
      </c>
    </row>
    <row r="313" spans="1:15" x14ac:dyDescent="0.35">
      <c r="A313" s="4">
        <v>23586</v>
      </c>
      <c r="B313" s="5" t="s">
        <v>574</v>
      </c>
      <c r="C313" s="5" t="s">
        <v>72</v>
      </c>
      <c r="D313" s="5" t="s">
        <v>1032</v>
      </c>
      <c r="E313" s="5" t="s">
        <v>1035</v>
      </c>
      <c r="F313" s="5" t="s">
        <v>1012</v>
      </c>
      <c r="G313" s="3" t="s">
        <v>1017</v>
      </c>
      <c r="H313" s="5" t="s">
        <v>575</v>
      </c>
      <c r="I313" s="5" t="s">
        <v>1023</v>
      </c>
      <c r="J313" s="4">
        <v>5061</v>
      </c>
      <c r="K313" s="1">
        <v>43858</v>
      </c>
      <c r="L313" s="1">
        <v>43860</v>
      </c>
      <c r="M313" s="4">
        <v>4</v>
      </c>
      <c r="N313" s="7" cm="1">
        <f t="array" ref="N313">_xlfn.IFS(I313="Dell Inspiron 15",66989,I313="Lenovo IdeaPad Slim 3i",34690,I313="Mi NoteBook Ultra",57999,I313="Samsung Galaxy Go",36990,I313="Acer Aspire 3",38980)</f>
        <v>66989</v>
      </c>
      <c r="O313" s="5" t="s">
        <v>1030</v>
      </c>
    </row>
    <row r="314" spans="1:15" x14ac:dyDescent="0.35">
      <c r="A314" s="4">
        <v>13875</v>
      </c>
      <c r="B314" s="5" t="s">
        <v>66</v>
      </c>
      <c r="C314" s="5" t="s">
        <v>350</v>
      </c>
      <c r="D314" s="5" t="s">
        <v>1032</v>
      </c>
      <c r="E314" s="5" t="s">
        <v>1035</v>
      </c>
      <c r="F314" s="5" t="s">
        <v>1012</v>
      </c>
      <c r="G314" s="3" t="s">
        <v>1017</v>
      </c>
      <c r="H314" s="5" t="s">
        <v>576</v>
      </c>
      <c r="I314" s="5" t="s">
        <v>1027</v>
      </c>
      <c r="J314" s="4">
        <v>4962</v>
      </c>
      <c r="K314" s="1">
        <v>43953</v>
      </c>
      <c r="L314" s="1">
        <v>43955</v>
      </c>
      <c r="M314" s="4">
        <v>4</v>
      </c>
      <c r="N314" s="7" cm="1">
        <f t="array" ref="N314">_xlfn.IFS(I314="Dell Inspiron 15",66989,I314="Lenovo IdeaPad Slim 3i",34690,I314="Mi NoteBook Ultra",57999,I314="Samsung Galaxy Go",36990,I314="Acer Aspire 3",38980)</f>
        <v>38980</v>
      </c>
      <c r="O314" s="5" t="s">
        <v>1030</v>
      </c>
    </row>
    <row r="315" spans="1:15" x14ac:dyDescent="0.35">
      <c r="A315" s="4">
        <v>18936</v>
      </c>
      <c r="B315" s="5" t="s">
        <v>577</v>
      </c>
      <c r="C315" s="5" t="s">
        <v>578</v>
      </c>
      <c r="D315" s="5" t="s">
        <v>1032</v>
      </c>
      <c r="E315" s="5" t="s">
        <v>1036</v>
      </c>
      <c r="F315" s="5" t="s">
        <v>1013</v>
      </c>
      <c r="G315" s="3" t="s">
        <v>1018</v>
      </c>
      <c r="H315" s="5" t="s">
        <v>579</v>
      </c>
      <c r="I315" s="5" t="s">
        <v>1026</v>
      </c>
      <c r="J315" s="4">
        <v>4694</v>
      </c>
      <c r="K315" s="1">
        <v>43883</v>
      </c>
      <c r="L315" s="1">
        <v>43884</v>
      </c>
      <c r="M315" s="4">
        <v>6</v>
      </c>
      <c r="N315" s="7" cm="1">
        <f t="array" ref="N315">_xlfn.IFS(I315="Dell Inspiron 15",66989,I315="Lenovo IdeaPad Slim 3i",34690,I315="Mi NoteBook Ultra",57999,I315="Samsung Galaxy Go",36990,I315="Acer Aspire 3",38980)</f>
        <v>36990</v>
      </c>
      <c r="O315" s="5" t="s">
        <v>1030</v>
      </c>
    </row>
    <row r="316" spans="1:15" x14ac:dyDescent="0.35">
      <c r="A316" s="4">
        <v>18450</v>
      </c>
      <c r="B316" s="5" t="s">
        <v>26</v>
      </c>
      <c r="C316" s="5" t="s">
        <v>475</v>
      </c>
      <c r="D316" s="5" t="s">
        <v>1032</v>
      </c>
      <c r="E316" s="5" t="s">
        <v>1033</v>
      </c>
      <c r="F316" s="5" t="s">
        <v>1010</v>
      </c>
      <c r="G316" s="3" t="s">
        <v>1015</v>
      </c>
      <c r="H316" s="5" t="s">
        <v>580</v>
      </c>
      <c r="I316" s="5" t="s">
        <v>1027</v>
      </c>
      <c r="J316" s="4">
        <v>5232</v>
      </c>
      <c r="K316" s="1">
        <v>43917</v>
      </c>
      <c r="L316" s="1">
        <v>43918</v>
      </c>
      <c r="M316" s="4">
        <v>6</v>
      </c>
      <c r="N316" s="7" cm="1">
        <f t="array" ref="N316">_xlfn.IFS(I316="Dell Inspiron 15",66989,I316="Lenovo IdeaPad Slim 3i",34690,I316="Mi NoteBook Ultra",57999,I316="Samsung Galaxy Go",36990,I316="Acer Aspire 3",38980)</f>
        <v>38980</v>
      </c>
      <c r="O316" s="5" t="s">
        <v>1030</v>
      </c>
    </row>
    <row r="317" spans="1:15" x14ac:dyDescent="0.35">
      <c r="A317" s="4">
        <v>16944</v>
      </c>
      <c r="B317" s="5" t="s">
        <v>156</v>
      </c>
      <c r="C317" s="5" t="s">
        <v>350</v>
      </c>
      <c r="D317" s="5" t="s">
        <v>1032</v>
      </c>
      <c r="E317" s="5" t="s">
        <v>1036</v>
      </c>
      <c r="F317" s="5" t="s">
        <v>1013</v>
      </c>
      <c r="G317" s="3" t="s">
        <v>1018</v>
      </c>
      <c r="H317" s="5" t="s">
        <v>581</v>
      </c>
      <c r="I317" s="5" t="s">
        <v>1023</v>
      </c>
      <c r="J317" s="4">
        <v>4948</v>
      </c>
      <c r="K317" s="1">
        <v>43850</v>
      </c>
      <c r="L317" s="1">
        <v>43852</v>
      </c>
      <c r="M317" s="4">
        <v>8</v>
      </c>
      <c r="N317" s="7" cm="1">
        <f t="array" ref="N317">_xlfn.IFS(I317="Dell Inspiron 15",66989,I317="Lenovo IdeaPad Slim 3i",34690,I317="Mi NoteBook Ultra",57999,I317="Samsung Galaxy Go",36990,I317="Acer Aspire 3",38980)</f>
        <v>66989</v>
      </c>
      <c r="O317" s="5" t="s">
        <v>1030</v>
      </c>
    </row>
    <row r="318" spans="1:15" x14ac:dyDescent="0.35">
      <c r="A318" s="4">
        <v>22630</v>
      </c>
      <c r="B318" s="5" t="s">
        <v>290</v>
      </c>
      <c r="C318" s="5" t="s">
        <v>24</v>
      </c>
      <c r="D318" s="5" t="s">
        <v>1032</v>
      </c>
      <c r="E318" s="5" t="s">
        <v>1033</v>
      </c>
      <c r="F318" s="5" t="s">
        <v>1010</v>
      </c>
      <c r="G318" s="3" t="s">
        <v>1015</v>
      </c>
      <c r="H318" s="5" t="s">
        <v>582</v>
      </c>
      <c r="I318" s="5" t="s">
        <v>1025</v>
      </c>
      <c r="J318" s="4">
        <v>4889</v>
      </c>
      <c r="K318" s="1">
        <v>43902</v>
      </c>
      <c r="L318" s="1">
        <v>43909</v>
      </c>
      <c r="M318" s="4">
        <v>9</v>
      </c>
      <c r="N318" s="7" cm="1">
        <f t="array" ref="N318">_xlfn.IFS(I318="Dell Inspiron 15",66989,I318="Lenovo IdeaPad Slim 3i",34690,I318="Mi NoteBook Ultra",57999,I318="Samsung Galaxy Go",36990,I318="Acer Aspire 3",38980)</f>
        <v>57999</v>
      </c>
      <c r="O318" s="5" t="s">
        <v>1030</v>
      </c>
    </row>
    <row r="319" spans="1:15" x14ac:dyDescent="0.35">
      <c r="A319" s="4">
        <v>16539</v>
      </c>
      <c r="B319" s="5" t="s">
        <v>583</v>
      </c>
      <c r="C319" s="5" t="s">
        <v>415</v>
      </c>
      <c r="D319" s="5" t="s">
        <v>1032</v>
      </c>
      <c r="E319" s="5" t="s">
        <v>1034</v>
      </c>
      <c r="F319" s="5" t="s">
        <v>1011</v>
      </c>
      <c r="G319" s="3" t="s">
        <v>1016</v>
      </c>
      <c r="H319" s="5" t="s">
        <v>584</v>
      </c>
      <c r="I319" s="5" t="s">
        <v>1027</v>
      </c>
      <c r="J319" s="4">
        <v>4834</v>
      </c>
      <c r="K319" s="1">
        <v>43997</v>
      </c>
      <c r="L319" s="1">
        <v>43999</v>
      </c>
      <c r="M319" s="4">
        <v>7</v>
      </c>
      <c r="N319" s="7" cm="1">
        <f t="array" ref="N319">_xlfn.IFS(I319="Dell Inspiron 15",66989,I319="Lenovo IdeaPad Slim 3i",34690,I319="Mi NoteBook Ultra",57999,I319="Samsung Galaxy Go",36990,I319="Acer Aspire 3",38980)</f>
        <v>38980</v>
      </c>
      <c r="O319" s="5" t="s">
        <v>1030</v>
      </c>
    </row>
    <row r="320" spans="1:15" x14ac:dyDescent="0.35">
      <c r="A320" s="4">
        <v>18265</v>
      </c>
      <c r="B320" s="5" t="s">
        <v>508</v>
      </c>
      <c r="C320" s="5" t="s">
        <v>166</v>
      </c>
      <c r="D320" s="5" t="s">
        <v>1032</v>
      </c>
      <c r="E320" s="5" t="s">
        <v>1033</v>
      </c>
      <c r="F320" s="5" t="s">
        <v>1010</v>
      </c>
      <c r="G320" s="3" t="s">
        <v>1015</v>
      </c>
      <c r="H320" s="5" t="s">
        <v>585</v>
      </c>
      <c r="I320" s="5" t="s">
        <v>1023</v>
      </c>
      <c r="J320" s="4">
        <v>4564</v>
      </c>
      <c r="K320" s="1">
        <v>43997</v>
      </c>
      <c r="L320" s="1">
        <v>43998</v>
      </c>
      <c r="M320" s="4">
        <v>9</v>
      </c>
      <c r="N320" s="7" cm="1">
        <f t="array" ref="N320">_xlfn.IFS(I320="Dell Inspiron 15",66989,I320="Lenovo IdeaPad Slim 3i",34690,I320="Mi NoteBook Ultra",57999,I320="Samsung Galaxy Go",36990,I320="Acer Aspire 3",38980)</f>
        <v>66989</v>
      </c>
      <c r="O320" s="5" t="s">
        <v>1030</v>
      </c>
    </row>
    <row r="321" spans="1:15" x14ac:dyDescent="0.35">
      <c r="A321" s="4">
        <v>19922</v>
      </c>
      <c r="B321" s="5" t="s">
        <v>482</v>
      </c>
      <c r="C321" s="5" t="s">
        <v>586</v>
      </c>
      <c r="D321" s="5" t="s">
        <v>1032</v>
      </c>
      <c r="E321" s="5" t="s">
        <v>1035</v>
      </c>
      <c r="F321" s="5" t="s">
        <v>1012</v>
      </c>
      <c r="G321" s="3" t="s">
        <v>1017</v>
      </c>
      <c r="H321" s="5" t="s">
        <v>587</v>
      </c>
      <c r="I321" s="5" t="s">
        <v>1024</v>
      </c>
      <c r="J321" s="4">
        <v>4557</v>
      </c>
      <c r="K321" s="1">
        <v>43961</v>
      </c>
      <c r="L321" s="1">
        <v>43962</v>
      </c>
      <c r="M321" s="4">
        <v>1</v>
      </c>
      <c r="N321" s="7" cm="1">
        <f t="array" ref="N321">_xlfn.IFS(I321="Dell Inspiron 15",66989,I321="Lenovo IdeaPad Slim 3i",34690,I321="Mi NoteBook Ultra",57999,I321="Samsung Galaxy Go",36990,I321="Acer Aspire 3",38980)</f>
        <v>34690</v>
      </c>
      <c r="O321" s="5" t="s">
        <v>1030</v>
      </c>
    </row>
    <row r="322" spans="1:15" x14ac:dyDescent="0.35">
      <c r="A322" s="4">
        <v>15334</v>
      </c>
      <c r="B322" s="5" t="s">
        <v>181</v>
      </c>
      <c r="C322" s="5" t="s">
        <v>78</v>
      </c>
      <c r="D322" s="5" t="s">
        <v>1032</v>
      </c>
      <c r="E322" s="5" t="s">
        <v>1033</v>
      </c>
      <c r="F322" s="5" t="s">
        <v>1010</v>
      </c>
      <c r="G322" s="3" t="s">
        <v>1015</v>
      </c>
      <c r="H322" s="5" t="s">
        <v>588</v>
      </c>
      <c r="I322" s="5" t="s">
        <v>1026</v>
      </c>
      <c r="J322" s="4">
        <v>4648</v>
      </c>
      <c r="K322" s="1">
        <v>43954</v>
      </c>
      <c r="L322" s="1">
        <v>43956</v>
      </c>
      <c r="M322" s="4">
        <v>3</v>
      </c>
      <c r="N322" s="7" cm="1">
        <f t="array" ref="N322">_xlfn.IFS(I322="Dell Inspiron 15",66989,I322="Lenovo IdeaPad Slim 3i",34690,I322="Mi NoteBook Ultra",57999,I322="Samsung Galaxy Go",36990,I322="Acer Aspire 3",38980)</f>
        <v>36990</v>
      </c>
      <c r="O322" s="5" t="s">
        <v>1030</v>
      </c>
    </row>
    <row r="323" spans="1:15" x14ac:dyDescent="0.35">
      <c r="A323" s="4">
        <v>23980</v>
      </c>
      <c r="B323" s="5" t="s">
        <v>569</v>
      </c>
      <c r="C323" s="5" t="s">
        <v>578</v>
      </c>
      <c r="D323" s="5" t="s">
        <v>1032</v>
      </c>
      <c r="E323" s="5" t="s">
        <v>1034</v>
      </c>
      <c r="F323" s="5" t="s">
        <v>1011</v>
      </c>
      <c r="G323" s="3" t="s">
        <v>1016</v>
      </c>
      <c r="H323" s="5" t="s">
        <v>589</v>
      </c>
      <c r="I323" s="5" t="s">
        <v>1023</v>
      </c>
      <c r="J323" s="4">
        <v>4960</v>
      </c>
      <c r="K323" s="1">
        <v>43954</v>
      </c>
      <c r="L323" s="1">
        <v>43956</v>
      </c>
      <c r="M323" s="4">
        <v>3</v>
      </c>
      <c r="N323" s="7" cm="1">
        <f t="array" ref="N323">_xlfn.IFS(I323="Dell Inspiron 15",66989,I323="Lenovo IdeaPad Slim 3i",34690,I323="Mi NoteBook Ultra",57999,I323="Samsung Galaxy Go",36990,I323="Acer Aspire 3",38980)</f>
        <v>66989</v>
      </c>
      <c r="O323" s="5" t="s">
        <v>1030</v>
      </c>
    </row>
    <row r="324" spans="1:15" x14ac:dyDescent="0.35">
      <c r="A324" s="4">
        <v>20077</v>
      </c>
      <c r="B324" s="5" t="s">
        <v>413</v>
      </c>
      <c r="C324" s="5" t="s">
        <v>428</v>
      </c>
      <c r="D324" s="5" t="s">
        <v>1032</v>
      </c>
      <c r="E324" s="5" t="s">
        <v>1033</v>
      </c>
      <c r="F324" s="5" t="s">
        <v>1010</v>
      </c>
      <c r="G324" s="3" t="s">
        <v>1015</v>
      </c>
      <c r="H324" s="5" t="s">
        <v>590</v>
      </c>
      <c r="I324" s="5" t="s">
        <v>1027</v>
      </c>
      <c r="J324" s="4">
        <v>5446</v>
      </c>
      <c r="K324" s="1">
        <v>43954</v>
      </c>
      <c r="L324" s="1">
        <v>43955</v>
      </c>
      <c r="M324" s="4">
        <v>9</v>
      </c>
      <c r="N324" s="7" cm="1">
        <f t="array" ref="N324">_xlfn.IFS(I324="Dell Inspiron 15",66989,I324="Lenovo IdeaPad Slim 3i",34690,I324="Mi NoteBook Ultra",57999,I324="Samsung Galaxy Go",36990,I324="Acer Aspire 3",38980)</f>
        <v>38980</v>
      </c>
      <c r="O324" s="5" t="s">
        <v>1030</v>
      </c>
    </row>
    <row r="325" spans="1:15" x14ac:dyDescent="0.35">
      <c r="A325" s="4">
        <v>12916</v>
      </c>
      <c r="B325" s="5" t="s">
        <v>52</v>
      </c>
      <c r="C325" s="5" t="s">
        <v>96</v>
      </c>
      <c r="D325" s="5" t="s">
        <v>1032</v>
      </c>
      <c r="E325" s="5" t="s">
        <v>1035</v>
      </c>
      <c r="F325" s="5" t="s">
        <v>1012</v>
      </c>
      <c r="G325" s="3" t="s">
        <v>1017</v>
      </c>
      <c r="H325" s="5" t="s">
        <v>591</v>
      </c>
      <c r="I325" s="5" t="s">
        <v>1025</v>
      </c>
      <c r="J325" s="4">
        <v>5339</v>
      </c>
      <c r="K325" s="1">
        <v>44004</v>
      </c>
      <c r="L325" s="1">
        <v>44006</v>
      </c>
      <c r="M325" s="4">
        <v>9</v>
      </c>
      <c r="N325" s="7" cm="1">
        <f t="array" ref="N325">_xlfn.IFS(I325="Dell Inspiron 15",66989,I325="Lenovo IdeaPad Slim 3i",34690,I325="Mi NoteBook Ultra",57999,I325="Samsung Galaxy Go",36990,I325="Acer Aspire 3",38980)</f>
        <v>57999</v>
      </c>
      <c r="O325" s="5" t="s">
        <v>1030</v>
      </c>
    </row>
    <row r="326" spans="1:15" x14ac:dyDescent="0.35">
      <c r="A326" s="4">
        <v>15782</v>
      </c>
      <c r="B326" s="5" t="s">
        <v>98</v>
      </c>
      <c r="C326" s="5" t="s">
        <v>72</v>
      </c>
      <c r="D326" s="5" t="s">
        <v>1032</v>
      </c>
      <c r="E326" s="5" t="s">
        <v>1035</v>
      </c>
      <c r="F326" s="5" t="s">
        <v>1012</v>
      </c>
      <c r="G326" s="3" t="s">
        <v>1017</v>
      </c>
      <c r="H326" s="5" t="s">
        <v>592</v>
      </c>
      <c r="I326" s="5" t="s">
        <v>1026</v>
      </c>
      <c r="J326" s="4">
        <v>5263</v>
      </c>
      <c r="K326" s="1">
        <v>43927</v>
      </c>
      <c r="L326" s="1">
        <v>43928</v>
      </c>
      <c r="M326" s="4">
        <v>1</v>
      </c>
      <c r="N326" s="7" cm="1">
        <f t="array" ref="N326">_xlfn.IFS(I326="Dell Inspiron 15",66989,I326="Lenovo IdeaPad Slim 3i",34690,I326="Mi NoteBook Ultra",57999,I326="Samsung Galaxy Go",36990,I326="Acer Aspire 3",38980)</f>
        <v>36990</v>
      </c>
      <c r="O326" s="5" t="s">
        <v>1030</v>
      </c>
    </row>
    <row r="327" spans="1:15" x14ac:dyDescent="0.35">
      <c r="A327" s="4">
        <v>21253</v>
      </c>
      <c r="B327" s="5" t="s">
        <v>593</v>
      </c>
      <c r="C327" s="5" t="s">
        <v>12</v>
      </c>
      <c r="D327" s="5" t="s">
        <v>1032</v>
      </c>
      <c r="E327" s="5" t="s">
        <v>1035</v>
      </c>
      <c r="F327" s="5" t="s">
        <v>1012</v>
      </c>
      <c r="G327" s="3" t="s">
        <v>1017</v>
      </c>
      <c r="H327" s="5" t="s">
        <v>594</v>
      </c>
      <c r="I327" s="5" t="s">
        <v>1027</v>
      </c>
      <c r="J327" s="4">
        <v>4847</v>
      </c>
      <c r="K327" s="1">
        <v>44004</v>
      </c>
      <c r="L327" s="1">
        <v>44006</v>
      </c>
      <c r="M327" s="4">
        <v>5</v>
      </c>
      <c r="N327" s="7" cm="1">
        <f t="array" ref="N327">_xlfn.IFS(I327="Dell Inspiron 15",66989,I327="Lenovo IdeaPad Slim 3i",34690,I327="Mi NoteBook Ultra",57999,I327="Samsung Galaxy Go",36990,I327="Acer Aspire 3",38980)</f>
        <v>38980</v>
      </c>
      <c r="O327" s="5" t="s">
        <v>1030</v>
      </c>
    </row>
    <row r="328" spans="1:15" x14ac:dyDescent="0.35">
      <c r="A328" s="4">
        <v>15881</v>
      </c>
      <c r="B328" s="5" t="s">
        <v>218</v>
      </c>
      <c r="C328" s="5" t="s">
        <v>430</v>
      </c>
      <c r="D328" s="5" t="s">
        <v>1032</v>
      </c>
      <c r="E328" s="5" t="s">
        <v>1035</v>
      </c>
      <c r="F328" s="5" t="s">
        <v>1012</v>
      </c>
      <c r="G328" s="3" t="s">
        <v>1017</v>
      </c>
      <c r="H328" s="5" t="s">
        <v>595</v>
      </c>
      <c r="I328" s="5" t="s">
        <v>1023</v>
      </c>
      <c r="J328" s="4">
        <v>5073</v>
      </c>
      <c r="K328" s="1">
        <v>44004</v>
      </c>
      <c r="L328" s="1">
        <v>44005</v>
      </c>
      <c r="M328" s="4">
        <v>10</v>
      </c>
      <c r="N328" s="7" cm="1">
        <f t="array" ref="N328">_xlfn.IFS(I328="Dell Inspiron 15",66989,I328="Lenovo IdeaPad Slim 3i",34690,I328="Mi NoteBook Ultra",57999,I328="Samsung Galaxy Go",36990,I328="Acer Aspire 3",38980)</f>
        <v>66989</v>
      </c>
      <c r="O328" s="5" t="s">
        <v>1030</v>
      </c>
    </row>
    <row r="329" spans="1:15" x14ac:dyDescent="0.35">
      <c r="A329" s="4">
        <v>20504</v>
      </c>
      <c r="B329" s="5" t="s">
        <v>387</v>
      </c>
      <c r="C329" s="5" t="s">
        <v>249</v>
      </c>
      <c r="D329" s="5" t="s">
        <v>1032</v>
      </c>
      <c r="E329" s="5" t="s">
        <v>1036</v>
      </c>
      <c r="F329" s="5" t="s">
        <v>1013</v>
      </c>
      <c r="G329" s="3" t="s">
        <v>1018</v>
      </c>
      <c r="H329" s="5" t="s">
        <v>596</v>
      </c>
      <c r="I329" s="5" t="s">
        <v>1025</v>
      </c>
      <c r="J329" s="4">
        <v>4722</v>
      </c>
      <c r="K329" s="1">
        <v>43927</v>
      </c>
      <c r="L329" s="1">
        <v>43928</v>
      </c>
      <c r="M329" s="4">
        <v>3</v>
      </c>
      <c r="N329" s="7" cm="1">
        <f t="array" ref="N329">_xlfn.IFS(I329="Dell Inspiron 15",66989,I329="Lenovo IdeaPad Slim 3i",34690,I329="Mi NoteBook Ultra",57999,I329="Samsung Galaxy Go",36990,I329="Acer Aspire 3",38980)</f>
        <v>57999</v>
      </c>
      <c r="O329" s="5" t="s">
        <v>1030</v>
      </c>
    </row>
    <row r="330" spans="1:15" x14ac:dyDescent="0.35">
      <c r="A330" s="4">
        <v>20463</v>
      </c>
      <c r="B330" s="5" t="s">
        <v>159</v>
      </c>
      <c r="C330" s="5" t="s">
        <v>30</v>
      </c>
      <c r="D330" s="5" t="s">
        <v>1032</v>
      </c>
      <c r="E330" s="5" t="s">
        <v>1033</v>
      </c>
      <c r="F330" s="5" t="s">
        <v>1010</v>
      </c>
      <c r="G330" s="3" t="s">
        <v>1015</v>
      </c>
      <c r="H330" s="5" t="s">
        <v>597</v>
      </c>
      <c r="I330" s="5" t="s">
        <v>1027</v>
      </c>
      <c r="J330" s="4">
        <v>4744</v>
      </c>
      <c r="K330" s="1">
        <v>44004</v>
      </c>
      <c r="L330" s="1">
        <v>44005</v>
      </c>
      <c r="M330" s="4">
        <v>2</v>
      </c>
      <c r="N330" s="7" cm="1">
        <f t="array" ref="N330">_xlfn.IFS(I330="Dell Inspiron 15",66989,I330="Lenovo IdeaPad Slim 3i",34690,I330="Mi NoteBook Ultra",57999,I330="Samsung Galaxy Go",36990,I330="Acer Aspire 3",38980)</f>
        <v>38980</v>
      </c>
      <c r="O330" s="5" t="s">
        <v>1030</v>
      </c>
    </row>
    <row r="331" spans="1:15" x14ac:dyDescent="0.35">
      <c r="A331" s="4">
        <v>21459</v>
      </c>
      <c r="B331" s="5" t="s">
        <v>93</v>
      </c>
      <c r="C331" s="5" t="s">
        <v>75</v>
      </c>
      <c r="D331" s="5" t="s">
        <v>1032</v>
      </c>
      <c r="E331" s="5" t="s">
        <v>1034</v>
      </c>
      <c r="F331" s="5" t="s">
        <v>1011</v>
      </c>
      <c r="G331" s="3" t="s">
        <v>1016</v>
      </c>
      <c r="H331" s="5" t="s">
        <v>598</v>
      </c>
      <c r="I331" s="5" t="s">
        <v>1023</v>
      </c>
      <c r="J331" s="4">
        <v>4705</v>
      </c>
      <c r="K331" s="1">
        <v>43833</v>
      </c>
      <c r="L331" s="1">
        <v>43834</v>
      </c>
      <c r="M331" s="4">
        <v>4</v>
      </c>
      <c r="N331" s="7" cm="1">
        <f t="array" ref="N331">_xlfn.IFS(I331="Dell Inspiron 15",66989,I331="Lenovo IdeaPad Slim 3i",34690,I331="Mi NoteBook Ultra",57999,I331="Samsung Galaxy Go",36990,I331="Acer Aspire 3",38980)</f>
        <v>66989</v>
      </c>
      <c r="O331" s="5" t="s">
        <v>1030</v>
      </c>
    </row>
    <row r="332" spans="1:15" x14ac:dyDescent="0.35">
      <c r="A332" s="4">
        <v>19844</v>
      </c>
      <c r="B332" s="5" t="s">
        <v>365</v>
      </c>
      <c r="C332" s="5" t="s">
        <v>215</v>
      </c>
      <c r="D332" s="5" t="s">
        <v>1032</v>
      </c>
      <c r="E332" s="5" t="s">
        <v>1033</v>
      </c>
      <c r="F332" s="5" t="s">
        <v>1010</v>
      </c>
      <c r="G332" s="3" t="s">
        <v>1015</v>
      </c>
      <c r="H332" s="5" t="s">
        <v>599</v>
      </c>
      <c r="I332" s="5" t="s">
        <v>1024</v>
      </c>
      <c r="J332" s="4">
        <v>4862</v>
      </c>
      <c r="K332" s="1">
        <v>43925</v>
      </c>
      <c r="L332" s="1">
        <v>43927</v>
      </c>
      <c r="M332" s="4">
        <v>1</v>
      </c>
      <c r="N332" s="7" cm="1">
        <f t="array" ref="N332">_xlfn.IFS(I332="Dell Inspiron 15",66989,I332="Lenovo IdeaPad Slim 3i",34690,I332="Mi NoteBook Ultra",57999,I332="Samsung Galaxy Go",36990,I332="Acer Aspire 3",38980)</f>
        <v>34690</v>
      </c>
      <c r="O332" s="5" t="s">
        <v>1030</v>
      </c>
    </row>
    <row r="333" spans="1:15" x14ac:dyDescent="0.35">
      <c r="A333" s="4">
        <v>16528</v>
      </c>
      <c r="B333" s="5" t="s">
        <v>283</v>
      </c>
      <c r="C333" s="5" t="s">
        <v>96</v>
      </c>
      <c r="D333" s="5" t="s">
        <v>1032</v>
      </c>
      <c r="E333" s="5" t="s">
        <v>1035</v>
      </c>
      <c r="F333" s="5" t="s">
        <v>1012</v>
      </c>
      <c r="G333" s="3" t="s">
        <v>1017</v>
      </c>
      <c r="H333" s="5" t="s">
        <v>600</v>
      </c>
      <c r="I333" s="5" t="s">
        <v>1025</v>
      </c>
      <c r="J333" s="4">
        <v>5096</v>
      </c>
      <c r="K333" s="1">
        <v>43925</v>
      </c>
      <c r="L333" s="1">
        <v>43927</v>
      </c>
      <c r="M333" s="4">
        <v>7</v>
      </c>
      <c r="N333" s="7" cm="1">
        <f t="array" ref="N333">_xlfn.IFS(I333="Dell Inspiron 15",66989,I333="Lenovo IdeaPad Slim 3i",34690,I333="Mi NoteBook Ultra",57999,I333="Samsung Galaxy Go",36990,I333="Acer Aspire 3",38980)</f>
        <v>57999</v>
      </c>
      <c r="O333" s="5" t="s">
        <v>1030</v>
      </c>
    </row>
    <row r="334" spans="1:15" x14ac:dyDescent="0.35">
      <c r="A334" s="4">
        <v>13960</v>
      </c>
      <c r="B334" s="5" t="s">
        <v>199</v>
      </c>
      <c r="C334" s="5" t="s">
        <v>208</v>
      </c>
      <c r="D334" s="5" t="s">
        <v>1032</v>
      </c>
      <c r="E334" s="5" t="s">
        <v>1035</v>
      </c>
      <c r="F334" s="5" t="s">
        <v>1012</v>
      </c>
      <c r="G334" s="3" t="s">
        <v>1017</v>
      </c>
      <c r="H334" s="5" t="s">
        <v>601</v>
      </c>
      <c r="I334" s="5" t="s">
        <v>1026</v>
      </c>
      <c r="J334" s="4">
        <v>5322</v>
      </c>
      <c r="K334" s="1">
        <v>43930</v>
      </c>
      <c r="L334" s="1">
        <v>43932</v>
      </c>
      <c r="M334" s="4">
        <v>2</v>
      </c>
      <c r="N334" s="7" cm="1">
        <f t="array" ref="N334">_xlfn.IFS(I334="Dell Inspiron 15",66989,I334="Lenovo IdeaPad Slim 3i",34690,I334="Mi NoteBook Ultra",57999,I334="Samsung Galaxy Go",36990,I334="Acer Aspire 3",38980)</f>
        <v>36990</v>
      </c>
      <c r="O334" s="5" t="s">
        <v>1030</v>
      </c>
    </row>
    <row r="335" spans="1:15" x14ac:dyDescent="0.35">
      <c r="A335" s="4">
        <v>17227</v>
      </c>
      <c r="B335" s="5" t="s">
        <v>55</v>
      </c>
      <c r="C335" s="5" t="s">
        <v>212</v>
      </c>
      <c r="D335" s="5" t="s">
        <v>1032</v>
      </c>
      <c r="E335" s="5" t="s">
        <v>1036</v>
      </c>
      <c r="F335" s="5" t="s">
        <v>1013</v>
      </c>
      <c r="G335" s="3" t="s">
        <v>1018</v>
      </c>
      <c r="H335" s="5" t="s">
        <v>602</v>
      </c>
      <c r="I335" s="5" t="s">
        <v>1027</v>
      </c>
      <c r="J335" s="4">
        <v>5057</v>
      </c>
      <c r="K335" s="1">
        <v>43833</v>
      </c>
      <c r="L335" s="1">
        <v>43834</v>
      </c>
      <c r="M335" s="4">
        <v>4</v>
      </c>
      <c r="N335" s="7" cm="1">
        <f t="array" ref="N335">_xlfn.IFS(I335="Dell Inspiron 15",66989,I335="Lenovo IdeaPad Slim 3i",34690,I335="Mi NoteBook Ultra",57999,I335="Samsung Galaxy Go",36990,I335="Acer Aspire 3",38980)</f>
        <v>38980</v>
      </c>
      <c r="O335" s="5" t="s">
        <v>1030</v>
      </c>
    </row>
    <row r="336" spans="1:15" x14ac:dyDescent="0.35">
      <c r="A336" s="4">
        <v>13040</v>
      </c>
      <c r="B336" s="5" t="s">
        <v>511</v>
      </c>
      <c r="C336" s="5" t="s">
        <v>146</v>
      </c>
      <c r="D336" s="5" t="s">
        <v>1032</v>
      </c>
      <c r="E336" s="5" t="s">
        <v>1033</v>
      </c>
      <c r="F336" s="5" t="s">
        <v>1010</v>
      </c>
      <c r="G336" s="3" t="s">
        <v>1015</v>
      </c>
      <c r="H336" s="5" t="s">
        <v>603</v>
      </c>
      <c r="I336" s="5" t="s">
        <v>1023</v>
      </c>
      <c r="J336" s="4">
        <v>5398</v>
      </c>
      <c r="K336" s="1">
        <v>43925</v>
      </c>
      <c r="L336" s="1">
        <v>43927</v>
      </c>
      <c r="M336" s="4">
        <v>1</v>
      </c>
      <c r="N336" s="7" cm="1">
        <f t="array" ref="N336">_xlfn.IFS(I336="Dell Inspiron 15",66989,I336="Lenovo IdeaPad Slim 3i",34690,I336="Mi NoteBook Ultra",57999,I336="Samsung Galaxy Go",36990,I336="Acer Aspire 3",38980)</f>
        <v>66989</v>
      </c>
      <c r="O336" s="5" t="s">
        <v>1030</v>
      </c>
    </row>
    <row r="337" spans="1:15" x14ac:dyDescent="0.35">
      <c r="A337" s="4">
        <v>23407</v>
      </c>
      <c r="B337" s="5" t="s">
        <v>32</v>
      </c>
      <c r="C337" s="5" t="s">
        <v>480</v>
      </c>
      <c r="D337" s="5" t="s">
        <v>1032</v>
      </c>
      <c r="E337" s="5" t="s">
        <v>1034</v>
      </c>
      <c r="F337" s="5" t="s">
        <v>1011</v>
      </c>
      <c r="G337" s="3" t="s">
        <v>1016</v>
      </c>
      <c r="H337" s="5" t="s">
        <v>604</v>
      </c>
      <c r="I337" s="5" t="s">
        <v>1025</v>
      </c>
      <c r="J337" s="4">
        <v>4714</v>
      </c>
      <c r="K337" s="1">
        <v>43925</v>
      </c>
      <c r="L337" s="1">
        <v>43927</v>
      </c>
      <c r="M337" s="4">
        <v>1</v>
      </c>
      <c r="N337" s="7" cm="1">
        <f t="array" ref="N337">_xlfn.IFS(I337="Dell Inspiron 15",66989,I337="Lenovo IdeaPad Slim 3i",34690,I337="Mi NoteBook Ultra",57999,I337="Samsung Galaxy Go",36990,I337="Acer Aspire 3",38980)</f>
        <v>57999</v>
      </c>
      <c r="O337" s="5" t="s">
        <v>1030</v>
      </c>
    </row>
    <row r="338" spans="1:15" x14ac:dyDescent="0.35">
      <c r="A338" s="4">
        <v>25104</v>
      </c>
      <c r="B338" s="5" t="s">
        <v>454</v>
      </c>
      <c r="C338" s="5" t="s">
        <v>12</v>
      </c>
      <c r="D338" s="5" t="s">
        <v>1032</v>
      </c>
      <c r="E338" s="5" t="s">
        <v>1033</v>
      </c>
      <c r="F338" s="5" t="s">
        <v>1010</v>
      </c>
      <c r="G338" s="3" t="s">
        <v>1015</v>
      </c>
      <c r="H338" s="5" t="s">
        <v>605</v>
      </c>
      <c r="I338" s="5" t="s">
        <v>1027</v>
      </c>
      <c r="J338" s="4">
        <v>5059</v>
      </c>
      <c r="K338" s="1">
        <v>43930</v>
      </c>
      <c r="L338" s="1">
        <v>43932</v>
      </c>
      <c r="M338" s="4">
        <v>2</v>
      </c>
      <c r="N338" s="7" cm="1">
        <f t="array" ref="N338">_xlfn.IFS(I338="Dell Inspiron 15",66989,I338="Lenovo IdeaPad Slim 3i",34690,I338="Mi NoteBook Ultra",57999,I338="Samsung Galaxy Go",36990,I338="Acer Aspire 3",38980)</f>
        <v>38980</v>
      </c>
      <c r="O338" s="5" t="s">
        <v>1030</v>
      </c>
    </row>
    <row r="339" spans="1:15" x14ac:dyDescent="0.35">
      <c r="A339" s="4">
        <v>16366</v>
      </c>
      <c r="B339" s="5" t="s">
        <v>528</v>
      </c>
      <c r="C339" s="5" t="s">
        <v>174</v>
      </c>
      <c r="D339" s="5" t="s">
        <v>1032</v>
      </c>
      <c r="E339" s="5" t="s">
        <v>1035</v>
      </c>
      <c r="F339" s="5" t="s">
        <v>1012</v>
      </c>
      <c r="G339" s="3" t="s">
        <v>1017</v>
      </c>
      <c r="H339" s="5" t="s">
        <v>606</v>
      </c>
      <c r="I339" s="5" t="s">
        <v>1023</v>
      </c>
      <c r="J339" s="4">
        <v>5048</v>
      </c>
      <c r="K339" s="1">
        <v>43842</v>
      </c>
      <c r="L339" s="1">
        <v>43843</v>
      </c>
      <c r="M339" s="4">
        <v>6</v>
      </c>
      <c r="N339" s="7" cm="1">
        <f t="array" ref="N339">_xlfn.IFS(I339="Dell Inspiron 15",66989,I339="Lenovo IdeaPad Slim 3i",34690,I339="Mi NoteBook Ultra",57999,I339="Samsung Galaxy Go",36990,I339="Acer Aspire 3",38980)</f>
        <v>66989</v>
      </c>
      <c r="O339" s="5" t="s">
        <v>1030</v>
      </c>
    </row>
    <row r="340" spans="1:15" x14ac:dyDescent="0.35">
      <c r="A340" s="4">
        <v>21908</v>
      </c>
      <c r="B340" s="5" t="s">
        <v>173</v>
      </c>
      <c r="C340" s="5" t="s">
        <v>607</v>
      </c>
      <c r="D340" s="5" t="s">
        <v>1032</v>
      </c>
      <c r="E340" s="5" t="s">
        <v>1035</v>
      </c>
      <c r="F340" s="5" t="s">
        <v>1012</v>
      </c>
      <c r="G340" s="3" t="s">
        <v>1017</v>
      </c>
      <c r="H340" s="5" t="s">
        <v>608</v>
      </c>
      <c r="I340" s="5" t="s">
        <v>1024</v>
      </c>
      <c r="J340" s="4">
        <v>4571</v>
      </c>
      <c r="K340" s="1">
        <v>43842</v>
      </c>
      <c r="L340" s="1">
        <v>43844</v>
      </c>
      <c r="M340" s="4">
        <v>9</v>
      </c>
      <c r="N340" s="7" cm="1">
        <f t="array" ref="N340">_xlfn.IFS(I340="Dell Inspiron 15",66989,I340="Lenovo IdeaPad Slim 3i",34690,I340="Mi NoteBook Ultra",57999,I340="Samsung Galaxy Go",36990,I340="Acer Aspire 3",38980)</f>
        <v>34690</v>
      </c>
      <c r="O340" s="5" t="s">
        <v>1030</v>
      </c>
    </row>
    <row r="341" spans="1:15" x14ac:dyDescent="0.35">
      <c r="A341" s="4">
        <v>12973</v>
      </c>
      <c r="B341" s="5" t="s">
        <v>546</v>
      </c>
      <c r="C341" s="5" t="s">
        <v>609</v>
      </c>
      <c r="D341" s="5" t="s">
        <v>1032</v>
      </c>
      <c r="E341" s="5" t="s">
        <v>1035</v>
      </c>
      <c r="F341" s="5" t="s">
        <v>1012</v>
      </c>
      <c r="G341" s="3" t="s">
        <v>1017</v>
      </c>
      <c r="H341" s="5" t="s">
        <v>610</v>
      </c>
      <c r="I341" s="5" t="s">
        <v>1026</v>
      </c>
      <c r="J341" s="4">
        <v>4851</v>
      </c>
      <c r="K341" s="1">
        <v>43930</v>
      </c>
      <c r="L341" s="1">
        <v>43931</v>
      </c>
      <c r="M341" s="4">
        <v>2</v>
      </c>
      <c r="N341" s="7" cm="1">
        <f t="array" ref="N341">_xlfn.IFS(I341="Dell Inspiron 15",66989,I341="Lenovo IdeaPad Slim 3i",34690,I341="Mi NoteBook Ultra",57999,I341="Samsung Galaxy Go",36990,I341="Acer Aspire 3",38980)</f>
        <v>36990</v>
      </c>
      <c r="O341" s="5" t="s">
        <v>1030</v>
      </c>
    </row>
    <row r="342" spans="1:15" x14ac:dyDescent="0.35">
      <c r="A342" s="4">
        <v>18981</v>
      </c>
      <c r="B342" s="5" t="s">
        <v>181</v>
      </c>
      <c r="C342" s="5" t="s">
        <v>294</v>
      </c>
      <c r="D342" s="5" t="s">
        <v>1032</v>
      </c>
      <c r="E342" s="5" t="s">
        <v>1036</v>
      </c>
      <c r="F342" s="5" t="s">
        <v>1013</v>
      </c>
      <c r="G342" s="3" t="s">
        <v>1018</v>
      </c>
      <c r="H342" s="5" t="s">
        <v>611</v>
      </c>
      <c r="I342" s="5" t="s">
        <v>1023</v>
      </c>
      <c r="J342" s="4">
        <v>4841</v>
      </c>
      <c r="K342" s="1">
        <v>43857</v>
      </c>
      <c r="L342" s="1">
        <v>43858</v>
      </c>
      <c r="M342" s="4">
        <v>9</v>
      </c>
      <c r="N342" s="7" cm="1">
        <f t="array" ref="N342">_xlfn.IFS(I342="Dell Inspiron 15",66989,I342="Lenovo IdeaPad Slim 3i",34690,I342="Mi NoteBook Ultra",57999,I342="Samsung Galaxy Go",36990,I342="Acer Aspire 3",38980)</f>
        <v>66989</v>
      </c>
      <c r="O342" s="5" t="s">
        <v>1030</v>
      </c>
    </row>
    <row r="343" spans="1:15" x14ac:dyDescent="0.35">
      <c r="A343" s="4">
        <v>23905</v>
      </c>
      <c r="B343" s="5" t="s">
        <v>14</v>
      </c>
      <c r="C343" s="5" t="s">
        <v>612</v>
      </c>
      <c r="D343" s="5" t="s">
        <v>1032</v>
      </c>
      <c r="E343" s="5" t="s">
        <v>1035</v>
      </c>
      <c r="F343" s="5" t="s">
        <v>1012</v>
      </c>
      <c r="G343" s="3" t="s">
        <v>1017</v>
      </c>
      <c r="H343" s="5" t="s">
        <v>613</v>
      </c>
      <c r="I343" s="5" t="s">
        <v>1027</v>
      </c>
      <c r="J343" s="4">
        <v>4632</v>
      </c>
      <c r="K343" s="1">
        <v>43976</v>
      </c>
      <c r="L343" s="1">
        <v>43977</v>
      </c>
      <c r="M343" s="4">
        <v>2</v>
      </c>
      <c r="N343" s="7" cm="1">
        <f t="array" ref="N343">_xlfn.IFS(I343="Dell Inspiron 15",66989,I343="Lenovo IdeaPad Slim 3i",34690,I343="Mi NoteBook Ultra",57999,I343="Samsung Galaxy Go",36990,I343="Acer Aspire 3",38980)</f>
        <v>38980</v>
      </c>
      <c r="O343" s="5" t="s">
        <v>1030</v>
      </c>
    </row>
    <row r="344" spans="1:15" x14ac:dyDescent="0.35">
      <c r="A344" s="4">
        <v>25057</v>
      </c>
      <c r="B344" s="5" t="s">
        <v>93</v>
      </c>
      <c r="C344" s="5" t="s">
        <v>39</v>
      </c>
      <c r="D344" s="5" t="s">
        <v>1032</v>
      </c>
      <c r="E344" s="5" t="s">
        <v>1035</v>
      </c>
      <c r="F344" s="5" t="s">
        <v>1012</v>
      </c>
      <c r="G344" s="3" t="s">
        <v>1017</v>
      </c>
      <c r="H344" s="5" t="s">
        <v>614</v>
      </c>
      <c r="I344" s="5" t="s">
        <v>1025</v>
      </c>
      <c r="J344" s="4">
        <v>4786</v>
      </c>
      <c r="K344" s="1">
        <v>43967</v>
      </c>
      <c r="L344" s="1">
        <v>43968</v>
      </c>
      <c r="M344" s="4">
        <v>4</v>
      </c>
      <c r="N344" s="7" cm="1">
        <f t="array" ref="N344">_xlfn.IFS(I344="Dell Inspiron 15",66989,I344="Lenovo IdeaPad Slim 3i",34690,I344="Mi NoteBook Ultra",57999,I344="Samsung Galaxy Go",36990,I344="Acer Aspire 3",38980)</f>
        <v>57999</v>
      </c>
      <c r="O344" s="5" t="s">
        <v>1030</v>
      </c>
    </row>
    <row r="345" spans="1:15" x14ac:dyDescent="0.35">
      <c r="A345" s="4">
        <v>24679</v>
      </c>
      <c r="B345" s="5" t="s">
        <v>615</v>
      </c>
      <c r="C345" s="5" t="s">
        <v>135</v>
      </c>
      <c r="D345" s="5" t="s">
        <v>1032</v>
      </c>
      <c r="E345" s="5" t="s">
        <v>1036</v>
      </c>
      <c r="F345" s="5" t="s">
        <v>1013</v>
      </c>
      <c r="G345" s="3" t="s">
        <v>1018</v>
      </c>
      <c r="H345" s="5" t="s">
        <v>616</v>
      </c>
      <c r="I345" s="5" t="s">
        <v>1026</v>
      </c>
      <c r="J345" s="4">
        <v>5159</v>
      </c>
      <c r="K345" s="1">
        <v>43967</v>
      </c>
      <c r="L345" s="1">
        <v>43968</v>
      </c>
      <c r="M345" s="4">
        <v>8</v>
      </c>
      <c r="N345" s="7" cm="1">
        <f t="array" ref="N345">_xlfn.IFS(I345="Dell Inspiron 15",66989,I345="Lenovo IdeaPad Slim 3i",34690,I345="Mi NoteBook Ultra",57999,I345="Samsung Galaxy Go",36990,I345="Acer Aspire 3",38980)</f>
        <v>36990</v>
      </c>
      <c r="O345" s="5" t="s">
        <v>1030</v>
      </c>
    </row>
    <row r="346" spans="1:15" x14ac:dyDescent="0.35">
      <c r="A346" s="4">
        <v>17647</v>
      </c>
      <c r="B346" s="5" t="s">
        <v>220</v>
      </c>
      <c r="C346" s="5" t="s">
        <v>617</v>
      </c>
      <c r="D346" s="5" t="s">
        <v>1032</v>
      </c>
      <c r="E346" s="5" t="s">
        <v>1036</v>
      </c>
      <c r="F346" s="5" t="s">
        <v>1013</v>
      </c>
      <c r="G346" s="3" t="s">
        <v>1018</v>
      </c>
      <c r="H346" s="5" t="s">
        <v>618</v>
      </c>
      <c r="I346" s="5" t="s">
        <v>1027</v>
      </c>
      <c r="J346" s="4">
        <v>5429</v>
      </c>
      <c r="K346" s="1">
        <v>43984</v>
      </c>
      <c r="L346" s="1">
        <v>43985</v>
      </c>
      <c r="M346" s="4">
        <v>3</v>
      </c>
      <c r="N346" s="7" cm="1">
        <f t="array" ref="N346">_xlfn.IFS(I346="Dell Inspiron 15",66989,I346="Lenovo IdeaPad Slim 3i",34690,I346="Mi NoteBook Ultra",57999,I346="Samsung Galaxy Go",36990,I346="Acer Aspire 3",38980)</f>
        <v>38980</v>
      </c>
      <c r="O346" s="5" t="s">
        <v>1030</v>
      </c>
    </row>
    <row r="347" spans="1:15" x14ac:dyDescent="0.35">
      <c r="A347" s="4">
        <v>16993</v>
      </c>
      <c r="B347" s="5" t="s">
        <v>371</v>
      </c>
      <c r="C347" s="5" t="s">
        <v>619</v>
      </c>
      <c r="D347" s="5" t="s">
        <v>1032</v>
      </c>
      <c r="E347" s="5" t="s">
        <v>1033</v>
      </c>
      <c r="F347" s="5" t="s">
        <v>1010</v>
      </c>
      <c r="G347" s="3" t="s">
        <v>1015</v>
      </c>
      <c r="H347" s="5" t="s">
        <v>620</v>
      </c>
      <c r="I347" s="5" t="s">
        <v>1023</v>
      </c>
      <c r="J347" s="4">
        <v>5210</v>
      </c>
      <c r="K347" s="1">
        <v>43984</v>
      </c>
      <c r="L347" s="1">
        <v>43985</v>
      </c>
      <c r="M347" s="4">
        <v>8</v>
      </c>
      <c r="N347" s="7" cm="1">
        <f t="array" ref="N347">_xlfn.IFS(I347="Dell Inspiron 15",66989,I347="Lenovo IdeaPad Slim 3i",34690,I347="Mi NoteBook Ultra",57999,I347="Samsung Galaxy Go",36990,I347="Acer Aspire 3",38980)</f>
        <v>66989</v>
      </c>
      <c r="O347" s="5" t="s">
        <v>1030</v>
      </c>
    </row>
    <row r="348" spans="1:15" x14ac:dyDescent="0.35">
      <c r="A348" s="4">
        <v>23217</v>
      </c>
      <c r="B348" s="5" t="s">
        <v>354</v>
      </c>
      <c r="C348" s="5" t="s">
        <v>168</v>
      </c>
      <c r="D348" s="5" t="s">
        <v>1032</v>
      </c>
      <c r="E348" s="5" t="s">
        <v>1034</v>
      </c>
      <c r="F348" s="5" t="s">
        <v>1011</v>
      </c>
      <c r="G348" s="3" t="s">
        <v>1016</v>
      </c>
      <c r="H348" s="5" t="s">
        <v>621</v>
      </c>
      <c r="I348" s="5" t="s">
        <v>1025</v>
      </c>
      <c r="J348" s="4">
        <v>5526</v>
      </c>
      <c r="K348" s="1">
        <v>43845</v>
      </c>
      <c r="L348" s="1">
        <v>43847</v>
      </c>
      <c r="M348" s="4">
        <v>10</v>
      </c>
      <c r="N348" s="7" cm="1">
        <f t="array" ref="N348">_xlfn.IFS(I348="Dell Inspiron 15",66989,I348="Lenovo IdeaPad Slim 3i",34690,I348="Mi NoteBook Ultra",57999,I348="Samsung Galaxy Go",36990,I348="Acer Aspire 3",38980)</f>
        <v>57999</v>
      </c>
      <c r="O348" s="5" t="s">
        <v>1030</v>
      </c>
    </row>
    <row r="349" spans="1:15" x14ac:dyDescent="0.35">
      <c r="A349" s="4">
        <v>14058</v>
      </c>
      <c r="B349" s="5" t="s">
        <v>622</v>
      </c>
      <c r="C349" s="5" t="s">
        <v>269</v>
      </c>
      <c r="D349" s="5" t="s">
        <v>1032</v>
      </c>
      <c r="E349" s="5" t="s">
        <v>1033</v>
      </c>
      <c r="F349" s="5" t="s">
        <v>1010</v>
      </c>
      <c r="G349" s="3" t="s">
        <v>1015</v>
      </c>
      <c r="H349" s="5" t="s">
        <v>623</v>
      </c>
      <c r="I349" s="5" t="s">
        <v>1027</v>
      </c>
      <c r="J349" s="4">
        <v>5173</v>
      </c>
      <c r="K349" s="1">
        <v>43906</v>
      </c>
      <c r="L349" s="1">
        <v>43906</v>
      </c>
      <c r="M349" s="4">
        <v>1</v>
      </c>
      <c r="N349" s="7" cm="1">
        <f t="array" ref="N349">_xlfn.IFS(I349="Dell Inspiron 15",66989,I349="Lenovo IdeaPad Slim 3i",34690,I349="Mi NoteBook Ultra",57999,I349="Samsung Galaxy Go",36990,I349="Acer Aspire 3",38980)</f>
        <v>38980</v>
      </c>
      <c r="O349" s="5" t="s">
        <v>1030</v>
      </c>
    </row>
    <row r="350" spans="1:15" x14ac:dyDescent="0.35">
      <c r="A350" s="4">
        <v>15001</v>
      </c>
      <c r="B350" s="5" t="s">
        <v>95</v>
      </c>
      <c r="C350" s="5" t="s">
        <v>624</v>
      </c>
      <c r="D350" s="5" t="s">
        <v>1032</v>
      </c>
      <c r="E350" s="5" t="s">
        <v>1035</v>
      </c>
      <c r="F350" s="5" t="s">
        <v>1012</v>
      </c>
      <c r="G350" s="3" t="s">
        <v>1017</v>
      </c>
      <c r="H350" s="5" t="s">
        <v>625</v>
      </c>
      <c r="I350" s="5" t="s">
        <v>1023</v>
      </c>
      <c r="J350" s="4">
        <v>4775</v>
      </c>
      <c r="K350" s="1">
        <v>43902</v>
      </c>
      <c r="L350" s="1">
        <v>43903</v>
      </c>
      <c r="M350" s="4">
        <v>6</v>
      </c>
      <c r="N350" s="7" cm="1">
        <f t="array" ref="N350">_xlfn.IFS(I350="Dell Inspiron 15",66989,I350="Lenovo IdeaPad Slim 3i",34690,I350="Mi NoteBook Ultra",57999,I350="Samsung Galaxy Go",36990,I350="Acer Aspire 3",38980)</f>
        <v>66989</v>
      </c>
      <c r="O350" s="5" t="s">
        <v>1030</v>
      </c>
    </row>
    <row r="351" spans="1:15" x14ac:dyDescent="0.35">
      <c r="A351" s="4">
        <v>23900</v>
      </c>
      <c r="B351" s="5" t="s">
        <v>435</v>
      </c>
      <c r="C351" s="5" t="s">
        <v>513</v>
      </c>
      <c r="D351" s="5" t="s">
        <v>1032</v>
      </c>
      <c r="E351" s="5" t="s">
        <v>1035</v>
      </c>
      <c r="F351" s="5" t="s">
        <v>1012</v>
      </c>
      <c r="G351" s="3" t="s">
        <v>1017</v>
      </c>
      <c r="H351" s="5" t="s">
        <v>626</v>
      </c>
      <c r="I351" s="5" t="s">
        <v>1024</v>
      </c>
      <c r="J351" s="4">
        <v>4905</v>
      </c>
      <c r="K351" s="1">
        <v>43944</v>
      </c>
      <c r="L351" s="1">
        <v>43945</v>
      </c>
      <c r="M351" s="4">
        <v>4</v>
      </c>
      <c r="N351" s="7" cm="1">
        <f t="array" ref="N351">_xlfn.IFS(I351="Dell Inspiron 15",66989,I351="Lenovo IdeaPad Slim 3i",34690,I351="Mi NoteBook Ultra",57999,I351="Samsung Galaxy Go",36990,I351="Acer Aspire 3",38980)</f>
        <v>34690</v>
      </c>
      <c r="O351" s="5" t="s">
        <v>1030</v>
      </c>
    </row>
    <row r="352" spans="1:15" x14ac:dyDescent="0.35">
      <c r="A352" s="4">
        <v>21407</v>
      </c>
      <c r="B352" s="5" t="s">
        <v>38</v>
      </c>
      <c r="C352" s="5" t="s">
        <v>142</v>
      </c>
      <c r="D352" s="5" t="s">
        <v>1032</v>
      </c>
      <c r="E352" s="5" t="s">
        <v>1036</v>
      </c>
      <c r="F352" s="5" t="s">
        <v>1013</v>
      </c>
      <c r="G352" s="3" t="s">
        <v>1018</v>
      </c>
      <c r="H352" s="5" t="s">
        <v>627</v>
      </c>
      <c r="I352" s="5" t="s">
        <v>1023</v>
      </c>
      <c r="J352" s="4">
        <v>5115</v>
      </c>
      <c r="K352" s="1">
        <v>43852</v>
      </c>
      <c r="L352" s="1">
        <v>43853</v>
      </c>
      <c r="M352" s="4">
        <v>5</v>
      </c>
      <c r="N352" s="7" cm="1">
        <f t="array" ref="N352">_xlfn.IFS(I352="Dell Inspiron 15",66989,I352="Lenovo IdeaPad Slim 3i",34690,I352="Mi NoteBook Ultra",57999,I352="Samsung Galaxy Go",36990,I352="Acer Aspire 3",38980)</f>
        <v>66989</v>
      </c>
      <c r="O352" s="5" t="s">
        <v>1030</v>
      </c>
    </row>
    <row r="353" spans="1:15" x14ac:dyDescent="0.35">
      <c r="A353" s="4">
        <v>25061</v>
      </c>
      <c r="B353" s="5" t="s">
        <v>460</v>
      </c>
      <c r="C353" s="5" t="s">
        <v>182</v>
      </c>
      <c r="D353" s="5" t="s">
        <v>1032</v>
      </c>
      <c r="E353" s="5" t="s">
        <v>1033</v>
      </c>
      <c r="F353" s="5" t="s">
        <v>1010</v>
      </c>
      <c r="G353" s="3" t="s">
        <v>1015</v>
      </c>
      <c r="H353" s="5" t="s">
        <v>628</v>
      </c>
      <c r="I353" s="5" t="s">
        <v>1024</v>
      </c>
      <c r="J353" s="4">
        <v>5238</v>
      </c>
      <c r="K353" s="1">
        <v>43941</v>
      </c>
      <c r="L353" s="1">
        <v>43943</v>
      </c>
      <c r="M353" s="4">
        <v>7</v>
      </c>
      <c r="N353" s="7" cm="1">
        <f t="array" ref="N353">_xlfn.IFS(I353="Dell Inspiron 15",66989,I353="Lenovo IdeaPad Slim 3i",34690,I353="Mi NoteBook Ultra",57999,I353="Samsung Galaxy Go",36990,I353="Acer Aspire 3",38980)</f>
        <v>34690</v>
      </c>
      <c r="O353" s="5" t="s">
        <v>1030</v>
      </c>
    </row>
    <row r="354" spans="1:15" x14ac:dyDescent="0.35">
      <c r="A354" s="4">
        <v>23778</v>
      </c>
      <c r="B354" s="5" t="s">
        <v>583</v>
      </c>
      <c r="C354" s="5" t="s">
        <v>480</v>
      </c>
      <c r="D354" s="5" t="s">
        <v>1032</v>
      </c>
      <c r="E354" s="5" t="s">
        <v>1035</v>
      </c>
      <c r="F354" s="5" t="s">
        <v>1012</v>
      </c>
      <c r="G354" s="3" t="s">
        <v>1017</v>
      </c>
      <c r="H354" s="5" t="s">
        <v>629</v>
      </c>
      <c r="I354" s="5" t="s">
        <v>1025</v>
      </c>
      <c r="J354" s="4">
        <v>5284</v>
      </c>
      <c r="K354" s="1">
        <v>43845</v>
      </c>
      <c r="L354" s="1">
        <v>43846</v>
      </c>
      <c r="M354" s="4">
        <v>5</v>
      </c>
      <c r="N354" s="7" cm="1">
        <f t="array" ref="N354">_xlfn.IFS(I354="Dell Inspiron 15",66989,I354="Lenovo IdeaPad Slim 3i",34690,I354="Mi NoteBook Ultra",57999,I354="Samsung Galaxy Go",36990,I354="Acer Aspire 3",38980)</f>
        <v>57999</v>
      </c>
      <c r="O354" s="5" t="s">
        <v>1030</v>
      </c>
    </row>
    <row r="355" spans="1:15" x14ac:dyDescent="0.35">
      <c r="A355" s="4">
        <v>14760</v>
      </c>
      <c r="B355" s="5" t="s">
        <v>630</v>
      </c>
      <c r="C355" s="5" t="s">
        <v>184</v>
      </c>
      <c r="D355" s="5" t="s">
        <v>1032</v>
      </c>
      <c r="E355" s="5" t="s">
        <v>1036</v>
      </c>
      <c r="F355" s="5" t="s">
        <v>1013</v>
      </c>
      <c r="G355" s="3" t="s">
        <v>1018</v>
      </c>
      <c r="H355" s="5" t="s">
        <v>631</v>
      </c>
      <c r="I355" s="5" t="s">
        <v>1026</v>
      </c>
      <c r="J355" s="4">
        <v>5211</v>
      </c>
      <c r="K355" s="1">
        <v>43940</v>
      </c>
      <c r="L355" s="1">
        <v>43947</v>
      </c>
      <c r="M355" s="4">
        <v>2</v>
      </c>
      <c r="N355" s="7" cm="1">
        <f t="array" ref="N355">_xlfn.IFS(I355="Dell Inspiron 15",66989,I355="Lenovo IdeaPad Slim 3i",34690,I355="Mi NoteBook Ultra",57999,I355="Samsung Galaxy Go",36990,I355="Acer Aspire 3",38980)</f>
        <v>36990</v>
      </c>
      <c r="O355" s="5" t="s">
        <v>1030</v>
      </c>
    </row>
    <row r="356" spans="1:15" x14ac:dyDescent="0.35">
      <c r="A356" s="4">
        <v>12613</v>
      </c>
      <c r="B356" s="5" t="s">
        <v>474</v>
      </c>
      <c r="C356" s="5" t="s">
        <v>415</v>
      </c>
      <c r="D356" s="5" t="s">
        <v>1032</v>
      </c>
      <c r="E356" s="5" t="s">
        <v>1033</v>
      </c>
      <c r="F356" s="5" t="s">
        <v>1010</v>
      </c>
      <c r="G356" s="3" t="s">
        <v>1015</v>
      </c>
      <c r="H356" s="5" t="s">
        <v>632</v>
      </c>
      <c r="I356" s="5" t="s">
        <v>1027</v>
      </c>
      <c r="J356" s="4">
        <v>4931</v>
      </c>
      <c r="K356" s="1">
        <v>43919</v>
      </c>
      <c r="L356" s="1">
        <v>43922</v>
      </c>
      <c r="M356" s="4">
        <v>9</v>
      </c>
      <c r="N356" s="7" cm="1">
        <f t="array" ref="N356">_xlfn.IFS(I356="Dell Inspiron 15",66989,I356="Lenovo IdeaPad Slim 3i",34690,I356="Mi NoteBook Ultra",57999,I356="Samsung Galaxy Go",36990,I356="Acer Aspire 3",38980)</f>
        <v>38980</v>
      </c>
      <c r="O356" s="5" t="s">
        <v>1030</v>
      </c>
    </row>
    <row r="357" spans="1:15" x14ac:dyDescent="0.35">
      <c r="A357" s="4">
        <v>22557</v>
      </c>
      <c r="B357" s="5" t="s">
        <v>218</v>
      </c>
      <c r="C357" s="5" t="s">
        <v>67</v>
      </c>
      <c r="D357" s="5" t="s">
        <v>1032</v>
      </c>
      <c r="E357" s="5" t="s">
        <v>1036</v>
      </c>
      <c r="F357" s="5" t="s">
        <v>1013</v>
      </c>
      <c r="G357" s="3" t="s">
        <v>1018</v>
      </c>
      <c r="H357" s="5" t="s">
        <v>633</v>
      </c>
      <c r="I357" s="5" t="s">
        <v>1023</v>
      </c>
      <c r="J357" s="4">
        <v>5329</v>
      </c>
      <c r="K357" s="1">
        <v>44000</v>
      </c>
      <c r="L357" s="1">
        <v>44004</v>
      </c>
      <c r="M357" s="4">
        <v>1</v>
      </c>
      <c r="N357" s="7" cm="1">
        <f t="array" ref="N357">_xlfn.IFS(I357="Dell Inspiron 15",66989,I357="Lenovo IdeaPad Slim 3i",34690,I357="Mi NoteBook Ultra",57999,I357="Samsung Galaxy Go",36990,I357="Acer Aspire 3",38980)</f>
        <v>66989</v>
      </c>
      <c r="O357" s="5" t="s">
        <v>1030</v>
      </c>
    </row>
    <row r="358" spans="1:15" x14ac:dyDescent="0.35">
      <c r="A358" s="4">
        <v>13183</v>
      </c>
      <c r="B358" s="5" t="s">
        <v>383</v>
      </c>
      <c r="C358" s="5" t="s">
        <v>515</v>
      </c>
      <c r="D358" s="5" t="s">
        <v>1032</v>
      </c>
      <c r="E358" s="5" t="s">
        <v>1033</v>
      </c>
      <c r="F358" s="5" t="s">
        <v>1010</v>
      </c>
      <c r="G358" s="3" t="s">
        <v>1015</v>
      </c>
      <c r="H358" s="5" t="s">
        <v>634</v>
      </c>
      <c r="I358" s="5" t="s">
        <v>1025</v>
      </c>
      <c r="J358" s="4">
        <v>5374</v>
      </c>
      <c r="K358" s="1">
        <v>43965</v>
      </c>
      <c r="L358" s="1">
        <v>43966</v>
      </c>
      <c r="M358" s="4">
        <v>1</v>
      </c>
      <c r="N358" s="7" cm="1">
        <f t="array" ref="N358">_xlfn.IFS(I358="Dell Inspiron 15",66989,I358="Lenovo IdeaPad Slim 3i",34690,I358="Mi NoteBook Ultra",57999,I358="Samsung Galaxy Go",36990,I358="Acer Aspire 3",38980)</f>
        <v>57999</v>
      </c>
      <c r="O358" s="5" t="s">
        <v>1030</v>
      </c>
    </row>
    <row r="359" spans="1:15" x14ac:dyDescent="0.35">
      <c r="A359" s="4">
        <v>14866</v>
      </c>
      <c r="B359" s="5" t="s">
        <v>635</v>
      </c>
      <c r="C359" s="5" t="s">
        <v>396</v>
      </c>
      <c r="D359" s="5" t="s">
        <v>1032</v>
      </c>
      <c r="E359" s="5" t="s">
        <v>1034</v>
      </c>
      <c r="F359" s="5" t="s">
        <v>1011</v>
      </c>
      <c r="G359" s="3" t="s">
        <v>1016</v>
      </c>
      <c r="H359" s="5" t="s">
        <v>636</v>
      </c>
      <c r="I359" s="5" t="s">
        <v>1027</v>
      </c>
      <c r="J359" s="4">
        <v>5020</v>
      </c>
      <c r="K359" s="1">
        <v>43855</v>
      </c>
      <c r="L359" s="1">
        <v>43856</v>
      </c>
      <c r="M359" s="4">
        <v>4</v>
      </c>
      <c r="N359" s="7" cm="1">
        <f t="array" ref="N359">_xlfn.IFS(I359="Dell Inspiron 15",66989,I359="Lenovo IdeaPad Slim 3i",34690,I359="Mi NoteBook Ultra",57999,I359="Samsung Galaxy Go",36990,I359="Acer Aspire 3",38980)</f>
        <v>38980</v>
      </c>
      <c r="O359" s="5" t="s">
        <v>1030</v>
      </c>
    </row>
    <row r="360" spans="1:15" x14ac:dyDescent="0.35">
      <c r="A360" s="4">
        <v>13800</v>
      </c>
      <c r="B360" s="5" t="s">
        <v>377</v>
      </c>
      <c r="C360" s="5" t="s">
        <v>176</v>
      </c>
      <c r="D360" s="5" t="s">
        <v>1032</v>
      </c>
      <c r="E360" s="5" t="s">
        <v>1033</v>
      </c>
      <c r="F360" s="5" t="s">
        <v>1010</v>
      </c>
      <c r="G360" s="3" t="s">
        <v>1015</v>
      </c>
      <c r="H360" s="5" t="s">
        <v>637</v>
      </c>
      <c r="I360" s="5" t="s">
        <v>1023</v>
      </c>
      <c r="J360" s="4">
        <v>4693</v>
      </c>
      <c r="K360" s="1">
        <v>43832</v>
      </c>
      <c r="L360" s="1">
        <v>43834</v>
      </c>
      <c r="M360" s="4">
        <v>6</v>
      </c>
      <c r="N360" s="7" cm="1">
        <f t="array" ref="N360">_xlfn.IFS(I360="Dell Inspiron 15",66989,I360="Lenovo IdeaPad Slim 3i",34690,I360="Mi NoteBook Ultra",57999,I360="Samsung Galaxy Go",36990,I360="Acer Aspire 3",38980)</f>
        <v>66989</v>
      </c>
      <c r="O360" s="5" t="s">
        <v>1030</v>
      </c>
    </row>
    <row r="361" spans="1:15" x14ac:dyDescent="0.35">
      <c r="A361" s="4">
        <v>14617</v>
      </c>
      <c r="B361" s="5" t="s">
        <v>638</v>
      </c>
      <c r="C361" s="5" t="s">
        <v>126</v>
      </c>
      <c r="D361" s="5" t="s">
        <v>1032</v>
      </c>
      <c r="E361" s="5" t="s">
        <v>1035</v>
      </c>
      <c r="F361" s="5" t="s">
        <v>1012</v>
      </c>
      <c r="G361" s="3" t="s">
        <v>1017</v>
      </c>
      <c r="H361" s="5" t="s">
        <v>639</v>
      </c>
      <c r="I361" s="5" t="s">
        <v>1024</v>
      </c>
      <c r="J361" s="4">
        <v>4873</v>
      </c>
      <c r="K361" s="1">
        <v>43832</v>
      </c>
      <c r="L361" s="1">
        <v>43833</v>
      </c>
      <c r="M361" s="4">
        <v>1</v>
      </c>
      <c r="N361" s="7" cm="1">
        <f t="array" ref="N361">_xlfn.IFS(I361="Dell Inspiron 15",66989,I361="Lenovo IdeaPad Slim 3i",34690,I361="Mi NoteBook Ultra",57999,I361="Samsung Galaxy Go",36990,I361="Acer Aspire 3",38980)</f>
        <v>34690</v>
      </c>
      <c r="O361" s="5" t="s">
        <v>1030</v>
      </c>
    </row>
    <row r="362" spans="1:15" x14ac:dyDescent="0.35">
      <c r="A362" s="4">
        <v>18023</v>
      </c>
      <c r="B362" s="5" t="s">
        <v>340</v>
      </c>
      <c r="C362" s="5" t="s">
        <v>312</v>
      </c>
      <c r="D362" s="5" t="s">
        <v>1032</v>
      </c>
      <c r="E362" s="5" t="s">
        <v>1033</v>
      </c>
      <c r="F362" s="5" t="s">
        <v>1010</v>
      </c>
      <c r="G362" s="3" t="s">
        <v>1015</v>
      </c>
      <c r="H362" s="5" t="s">
        <v>640</v>
      </c>
      <c r="I362" s="5" t="s">
        <v>1026</v>
      </c>
      <c r="J362" s="4">
        <v>5023</v>
      </c>
      <c r="K362" s="1">
        <v>43841</v>
      </c>
      <c r="L362" s="1">
        <v>43848</v>
      </c>
      <c r="M362" s="4">
        <v>8</v>
      </c>
      <c r="N362" s="7" cm="1">
        <f t="array" ref="N362">_xlfn.IFS(I362="Dell Inspiron 15",66989,I362="Lenovo IdeaPad Slim 3i",34690,I362="Mi NoteBook Ultra",57999,I362="Samsung Galaxy Go",36990,I362="Acer Aspire 3",38980)</f>
        <v>36990</v>
      </c>
      <c r="O362" s="5" t="s">
        <v>1030</v>
      </c>
    </row>
    <row r="363" spans="1:15" x14ac:dyDescent="0.35">
      <c r="A363" s="4">
        <v>20629</v>
      </c>
      <c r="B363" s="5" t="s">
        <v>170</v>
      </c>
      <c r="C363" s="5" t="s">
        <v>462</v>
      </c>
      <c r="D363" s="5" t="s">
        <v>1032</v>
      </c>
      <c r="E363" s="5" t="s">
        <v>1034</v>
      </c>
      <c r="F363" s="5" t="s">
        <v>1011</v>
      </c>
      <c r="G363" s="3" t="s">
        <v>1016</v>
      </c>
      <c r="H363" s="5" t="s">
        <v>641</v>
      </c>
      <c r="I363" s="5" t="s">
        <v>1023</v>
      </c>
      <c r="J363" s="4">
        <v>4819</v>
      </c>
      <c r="K363" s="1">
        <v>43833</v>
      </c>
      <c r="L363" s="1">
        <v>43835</v>
      </c>
      <c r="M363" s="4">
        <v>5</v>
      </c>
      <c r="N363" s="7" cm="1">
        <f t="array" ref="N363">_xlfn.IFS(I363="Dell Inspiron 15",66989,I363="Lenovo IdeaPad Slim 3i",34690,I363="Mi NoteBook Ultra",57999,I363="Samsung Galaxy Go",36990,I363="Acer Aspire 3",38980)</f>
        <v>66989</v>
      </c>
      <c r="O363" s="5" t="s">
        <v>1030</v>
      </c>
    </row>
    <row r="364" spans="1:15" x14ac:dyDescent="0.35">
      <c r="A364" s="4">
        <v>13154</v>
      </c>
      <c r="B364" s="5" t="s">
        <v>131</v>
      </c>
      <c r="C364" s="5" t="s">
        <v>48</v>
      </c>
      <c r="D364" s="5" t="s">
        <v>1032</v>
      </c>
      <c r="E364" s="5" t="s">
        <v>1033</v>
      </c>
      <c r="F364" s="5" t="s">
        <v>1010</v>
      </c>
      <c r="G364" s="3" t="s">
        <v>1015</v>
      </c>
      <c r="H364" s="5" t="s">
        <v>642</v>
      </c>
      <c r="I364" s="5" t="s">
        <v>1027</v>
      </c>
      <c r="J364" s="4">
        <v>5410</v>
      </c>
      <c r="K364" s="1">
        <v>43833</v>
      </c>
      <c r="L364" s="1">
        <v>43840</v>
      </c>
      <c r="M364" s="4">
        <v>4</v>
      </c>
      <c r="N364" s="7" cm="1">
        <f t="array" ref="N364">_xlfn.IFS(I364="Dell Inspiron 15",66989,I364="Lenovo IdeaPad Slim 3i",34690,I364="Mi NoteBook Ultra",57999,I364="Samsung Galaxy Go",36990,I364="Acer Aspire 3",38980)</f>
        <v>38980</v>
      </c>
      <c r="O364" s="5" t="s">
        <v>1030</v>
      </c>
    </row>
    <row r="365" spans="1:15" x14ac:dyDescent="0.35">
      <c r="A365" s="4">
        <v>25682</v>
      </c>
      <c r="B365" s="5" t="s">
        <v>450</v>
      </c>
      <c r="C365" s="5" t="s">
        <v>291</v>
      </c>
      <c r="D365" s="5" t="s">
        <v>1032</v>
      </c>
      <c r="E365" s="5" t="s">
        <v>1035</v>
      </c>
      <c r="F365" s="5" t="s">
        <v>1012</v>
      </c>
      <c r="G365" s="3" t="s">
        <v>1017</v>
      </c>
      <c r="H365" s="5" t="s">
        <v>643</v>
      </c>
      <c r="I365" s="5" t="s">
        <v>1025</v>
      </c>
      <c r="J365" s="4">
        <v>4602</v>
      </c>
      <c r="K365" s="1">
        <v>43833</v>
      </c>
      <c r="L365" s="1">
        <v>43837</v>
      </c>
      <c r="M365" s="4">
        <v>8</v>
      </c>
      <c r="N365" s="7" cm="1">
        <f t="array" ref="N365">_xlfn.IFS(I365="Dell Inspiron 15",66989,I365="Lenovo IdeaPad Slim 3i",34690,I365="Mi NoteBook Ultra",57999,I365="Samsung Galaxy Go",36990,I365="Acer Aspire 3",38980)</f>
        <v>57999</v>
      </c>
      <c r="O365" s="5" t="s">
        <v>1030</v>
      </c>
    </row>
    <row r="366" spans="1:15" x14ac:dyDescent="0.35">
      <c r="A366" s="4">
        <v>18951</v>
      </c>
      <c r="B366" s="5" t="s">
        <v>139</v>
      </c>
      <c r="C366" s="5" t="s">
        <v>487</v>
      </c>
      <c r="D366" s="5" t="s">
        <v>1032</v>
      </c>
      <c r="E366" s="5" t="s">
        <v>1035</v>
      </c>
      <c r="F366" s="5" t="s">
        <v>1012</v>
      </c>
      <c r="G366" s="3" t="s">
        <v>1017</v>
      </c>
      <c r="H366" s="5" t="s">
        <v>644</v>
      </c>
      <c r="I366" s="5" t="s">
        <v>1026</v>
      </c>
      <c r="J366" s="4">
        <v>4876</v>
      </c>
      <c r="K366" s="1">
        <v>43934</v>
      </c>
      <c r="L366" s="1">
        <v>43936</v>
      </c>
      <c r="M366" s="4">
        <v>7</v>
      </c>
      <c r="N366" s="7" cm="1">
        <f t="array" ref="N366">_xlfn.IFS(I366="Dell Inspiron 15",66989,I366="Lenovo IdeaPad Slim 3i",34690,I366="Mi NoteBook Ultra",57999,I366="Samsung Galaxy Go",36990,I366="Acer Aspire 3",38980)</f>
        <v>36990</v>
      </c>
      <c r="O366" s="5" t="s">
        <v>1030</v>
      </c>
    </row>
    <row r="367" spans="1:15" x14ac:dyDescent="0.35">
      <c r="A367" s="4">
        <v>15300</v>
      </c>
      <c r="B367" s="5" t="s">
        <v>377</v>
      </c>
      <c r="C367" s="5" t="s">
        <v>428</v>
      </c>
      <c r="D367" s="5" t="s">
        <v>1032</v>
      </c>
      <c r="E367" s="5" t="s">
        <v>1035</v>
      </c>
      <c r="F367" s="5" t="s">
        <v>1012</v>
      </c>
      <c r="G367" s="3" t="s">
        <v>1017</v>
      </c>
      <c r="H367" s="5" t="s">
        <v>645</v>
      </c>
      <c r="I367" s="5" t="s">
        <v>1027</v>
      </c>
      <c r="J367" s="4">
        <v>4730</v>
      </c>
      <c r="K367" s="1">
        <v>43882</v>
      </c>
      <c r="L367" s="1">
        <v>43882</v>
      </c>
      <c r="M367" s="4">
        <v>9</v>
      </c>
      <c r="N367" s="7" cm="1">
        <f t="array" ref="N367">_xlfn.IFS(I367="Dell Inspiron 15",66989,I367="Lenovo IdeaPad Slim 3i",34690,I367="Mi NoteBook Ultra",57999,I367="Samsung Galaxy Go",36990,I367="Acer Aspire 3",38980)</f>
        <v>38980</v>
      </c>
      <c r="O367" s="5" t="s">
        <v>1030</v>
      </c>
    </row>
    <row r="368" spans="1:15" x14ac:dyDescent="0.35">
      <c r="A368" s="4">
        <v>20209</v>
      </c>
      <c r="B368" s="5" t="s">
        <v>646</v>
      </c>
      <c r="C368" s="5" t="s">
        <v>647</v>
      </c>
      <c r="D368" s="5" t="s">
        <v>1032</v>
      </c>
      <c r="E368" s="5" t="s">
        <v>1035</v>
      </c>
      <c r="F368" s="5" t="s">
        <v>1012</v>
      </c>
      <c r="G368" s="3" t="s">
        <v>1017</v>
      </c>
      <c r="H368" s="5" t="s">
        <v>648</v>
      </c>
      <c r="I368" s="5" t="s">
        <v>1023</v>
      </c>
      <c r="J368" s="4">
        <v>5393</v>
      </c>
      <c r="K368" s="1">
        <v>43973</v>
      </c>
      <c r="L368" s="1">
        <v>43974</v>
      </c>
      <c r="M368" s="4">
        <v>9</v>
      </c>
      <c r="N368" s="7" cm="1">
        <f t="array" ref="N368">_xlfn.IFS(I368="Dell Inspiron 15",66989,I368="Lenovo IdeaPad Slim 3i",34690,I368="Mi NoteBook Ultra",57999,I368="Samsung Galaxy Go",36990,I368="Acer Aspire 3",38980)</f>
        <v>66989</v>
      </c>
      <c r="O368" s="5" t="s">
        <v>1030</v>
      </c>
    </row>
    <row r="369" spans="1:15" x14ac:dyDescent="0.35">
      <c r="A369" s="4">
        <v>24395</v>
      </c>
      <c r="B369" s="5" t="s">
        <v>577</v>
      </c>
      <c r="C369" s="5" t="s">
        <v>394</v>
      </c>
      <c r="D369" s="5" t="s">
        <v>1032</v>
      </c>
      <c r="E369" s="5" t="s">
        <v>1036</v>
      </c>
      <c r="F369" s="5" t="s">
        <v>1013</v>
      </c>
      <c r="G369" s="3" t="s">
        <v>1018</v>
      </c>
      <c r="H369" s="5" t="s">
        <v>649</v>
      </c>
      <c r="I369" s="5" t="s">
        <v>1025</v>
      </c>
      <c r="J369" s="4">
        <v>4726</v>
      </c>
      <c r="K369" s="1">
        <v>43882</v>
      </c>
      <c r="L369" s="1">
        <v>43882</v>
      </c>
      <c r="M369" s="4">
        <v>5</v>
      </c>
      <c r="N369" s="7" cm="1">
        <f t="array" ref="N369">_xlfn.IFS(I369="Dell Inspiron 15",66989,I369="Lenovo IdeaPad Slim 3i",34690,I369="Mi NoteBook Ultra",57999,I369="Samsung Galaxy Go",36990,I369="Acer Aspire 3",38980)</f>
        <v>57999</v>
      </c>
      <c r="O369" s="5" t="s">
        <v>1030</v>
      </c>
    </row>
    <row r="370" spans="1:15" x14ac:dyDescent="0.35">
      <c r="A370" s="4">
        <v>23208</v>
      </c>
      <c r="B370" s="5" t="s">
        <v>435</v>
      </c>
      <c r="C370" s="5" t="s">
        <v>650</v>
      </c>
      <c r="D370" s="5" t="s">
        <v>1032</v>
      </c>
      <c r="E370" s="5" t="s">
        <v>1033</v>
      </c>
      <c r="F370" s="5" t="s">
        <v>1010</v>
      </c>
      <c r="G370" s="3" t="s">
        <v>1015</v>
      </c>
      <c r="H370" s="5" t="s">
        <v>651</v>
      </c>
      <c r="I370" s="5" t="s">
        <v>1027</v>
      </c>
      <c r="J370" s="4">
        <v>4913</v>
      </c>
      <c r="K370" s="1">
        <v>43973</v>
      </c>
      <c r="L370" s="1">
        <v>43973</v>
      </c>
      <c r="M370" s="4">
        <v>7</v>
      </c>
      <c r="N370" s="7" cm="1">
        <f t="array" ref="N370">_xlfn.IFS(I370="Dell Inspiron 15",66989,I370="Lenovo IdeaPad Slim 3i",34690,I370="Mi NoteBook Ultra",57999,I370="Samsung Galaxy Go",36990,I370="Acer Aspire 3",38980)</f>
        <v>38980</v>
      </c>
      <c r="O370" s="5" t="s">
        <v>1030</v>
      </c>
    </row>
    <row r="371" spans="1:15" x14ac:dyDescent="0.35">
      <c r="A371" s="4">
        <v>19965</v>
      </c>
      <c r="B371" s="5" t="s">
        <v>116</v>
      </c>
      <c r="C371" s="5" t="s">
        <v>586</v>
      </c>
      <c r="D371" s="5" t="s">
        <v>1032</v>
      </c>
      <c r="E371" s="5" t="s">
        <v>1034</v>
      </c>
      <c r="F371" s="5" t="s">
        <v>1011</v>
      </c>
      <c r="G371" s="3" t="s">
        <v>1016</v>
      </c>
      <c r="H371" s="5" t="s">
        <v>652</v>
      </c>
      <c r="I371" s="5" t="s">
        <v>1023</v>
      </c>
      <c r="J371" s="4">
        <v>4782</v>
      </c>
      <c r="K371" s="1">
        <v>43973</v>
      </c>
      <c r="L371" s="1">
        <v>43974</v>
      </c>
      <c r="M371" s="4">
        <v>5</v>
      </c>
      <c r="N371" s="7" cm="1">
        <f t="array" ref="N371">_xlfn.IFS(I371="Dell Inspiron 15",66989,I371="Lenovo IdeaPad Slim 3i",34690,I371="Mi NoteBook Ultra",57999,I371="Samsung Galaxy Go",36990,I371="Acer Aspire 3",38980)</f>
        <v>66989</v>
      </c>
      <c r="O371" s="5" t="s">
        <v>1030</v>
      </c>
    </row>
    <row r="372" spans="1:15" x14ac:dyDescent="0.35">
      <c r="A372" s="4">
        <v>24017</v>
      </c>
      <c r="B372" s="5" t="s">
        <v>134</v>
      </c>
      <c r="C372" s="5" t="s">
        <v>176</v>
      </c>
      <c r="D372" s="5" t="s">
        <v>1032</v>
      </c>
      <c r="E372" s="5" t="s">
        <v>1033</v>
      </c>
      <c r="F372" s="5" t="s">
        <v>1010</v>
      </c>
      <c r="G372" s="3" t="s">
        <v>1015</v>
      </c>
      <c r="H372" s="5" t="s">
        <v>653</v>
      </c>
      <c r="I372" s="5" t="s">
        <v>1024</v>
      </c>
      <c r="J372" s="4">
        <v>5271</v>
      </c>
      <c r="K372" s="1">
        <v>43873</v>
      </c>
      <c r="L372" s="1">
        <v>43874</v>
      </c>
      <c r="M372" s="4">
        <v>10</v>
      </c>
      <c r="N372" s="7" cm="1">
        <f t="array" ref="N372">_xlfn.IFS(I372="Dell Inspiron 15",66989,I372="Lenovo IdeaPad Slim 3i",34690,I372="Mi NoteBook Ultra",57999,I372="Samsung Galaxy Go",36990,I372="Acer Aspire 3",38980)</f>
        <v>34690</v>
      </c>
      <c r="O372" s="5" t="s">
        <v>1030</v>
      </c>
    </row>
    <row r="373" spans="1:15" x14ac:dyDescent="0.35">
      <c r="A373" s="4">
        <v>25354</v>
      </c>
      <c r="B373" s="5" t="s">
        <v>359</v>
      </c>
      <c r="C373" s="5" t="s">
        <v>81</v>
      </c>
      <c r="D373" s="5" t="s">
        <v>1032</v>
      </c>
      <c r="E373" s="5" t="s">
        <v>1035</v>
      </c>
      <c r="F373" s="5" t="s">
        <v>1012</v>
      </c>
      <c r="G373" s="3" t="s">
        <v>1017</v>
      </c>
      <c r="H373" s="5" t="s">
        <v>654</v>
      </c>
      <c r="I373" s="5" t="s">
        <v>1025</v>
      </c>
      <c r="J373" s="4">
        <v>4668</v>
      </c>
      <c r="K373" s="1">
        <v>43873</v>
      </c>
      <c r="L373" s="1">
        <v>43876</v>
      </c>
      <c r="M373" s="4">
        <v>1</v>
      </c>
      <c r="N373" s="7" cm="1">
        <f t="array" ref="N373">_xlfn.IFS(I373="Dell Inspiron 15",66989,I373="Lenovo IdeaPad Slim 3i",34690,I373="Mi NoteBook Ultra",57999,I373="Samsung Galaxy Go",36990,I373="Acer Aspire 3",38980)</f>
        <v>57999</v>
      </c>
      <c r="O373" s="5" t="s">
        <v>1030</v>
      </c>
    </row>
    <row r="374" spans="1:15" x14ac:dyDescent="0.35">
      <c r="A374" s="4">
        <v>15902</v>
      </c>
      <c r="B374" s="5" t="s">
        <v>387</v>
      </c>
      <c r="C374" s="5" t="s">
        <v>162</v>
      </c>
      <c r="D374" s="5" t="s">
        <v>1032</v>
      </c>
      <c r="E374" s="5" t="s">
        <v>1035</v>
      </c>
      <c r="F374" s="5" t="s">
        <v>1012</v>
      </c>
      <c r="G374" s="3" t="s">
        <v>1017</v>
      </c>
      <c r="H374" s="5" t="s">
        <v>655</v>
      </c>
      <c r="I374" s="5" t="s">
        <v>1026</v>
      </c>
      <c r="J374" s="4">
        <v>4577</v>
      </c>
      <c r="K374" s="1">
        <v>43930</v>
      </c>
      <c r="L374" s="1">
        <v>43932</v>
      </c>
      <c r="M374" s="4">
        <v>4</v>
      </c>
      <c r="N374" s="7" cm="1">
        <f t="array" ref="N374">_xlfn.IFS(I374="Dell Inspiron 15",66989,I374="Lenovo IdeaPad Slim 3i",34690,I374="Mi NoteBook Ultra",57999,I374="Samsung Galaxy Go",36990,I374="Acer Aspire 3",38980)</f>
        <v>36990</v>
      </c>
      <c r="O374" s="5" t="s">
        <v>1030</v>
      </c>
    </row>
    <row r="375" spans="1:15" x14ac:dyDescent="0.35">
      <c r="A375" s="4">
        <v>23474</v>
      </c>
      <c r="B375" s="5" t="s">
        <v>80</v>
      </c>
      <c r="C375" s="5" t="s">
        <v>39</v>
      </c>
      <c r="D375" s="5" t="s">
        <v>1032</v>
      </c>
      <c r="E375" s="5" t="s">
        <v>1036</v>
      </c>
      <c r="F375" s="5" t="s">
        <v>1013</v>
      </c>
      <c r="G375" s="3" t="s">
        <v>1018</v>
      </c>
      <c r="H375" s="5" t="s">
        <v>656</v>
      </c>
      <c r="I375" s="5" t="s">
        <v>1027</v>
      </c>
      <c r="J375" s="4">
        <v>4923</v>
      </c>
      <c r="K375" s="1">
        <v>43930</v>
      </c>
      <c r="L375" s="1">
        <v>43930</v>
      </c>
      <c r="M375" s="4">
        <v>2</v>
      </c>
      <c r="N375" s="7" cm="1">
        <f t="array" ref="N375">_xlfn.IFS(I375="Dell Inspiron 15",66989,I375="Lenovo IdeaPad Slim 3i",34690,I375="Mi NoteBook Ultra",57999,I375="Samsung Galaxy Go",36990,I375="Acer Aspire 3",38980)</f>
        <v>38980</v>
      </c>
      <c r="O375" s="5" t="s">
        <v>1030</v>
      </c>
    </row>
    <row r="376" spans="1:15" x14ac:dyDescent="0.35">
      <c r="A376" s="4">
        <v>22204</v>
      </c>
      <c r="B376" s="5" t="s">
        <v>234</v>
      </c>
      <c r="C376" s="5" t="s">
        <v>426</v>
      </c>
      <c r="D376" s="5" t="s">
        <v>1032</v>
      </c>
      <c r="E376" s="5" t="s">
        <v>1033</v>
      </c>
      <c r="F376" s="5" t="s">
        <v>1010</v>
      </c>
      <c r="G376" s="3" t="s">
        <v>1015</v>
      </c>
      <c r="H376" s="5" t="s">
        <v>657</v>
      </c>
      <c r="I376" s="5" t="s">
        <v>1023</v>
      </c>
      <c r="J376" s="4">
        <v>4651</v>
      </c>
      <c r="K376" s="1">
        <v>43930</v>
      </c>
      <c r="L376" s="1">
        <v>43931</v>
      </c>
      <c r="M376" s="4">
        <v>8</v>
      </c>
      <c r="N376" s="7" cm="1">
        <f t="array" ref="N376">_xlfn.IFS(I376="Dell Inspiron 15",66989,I376="Lenovo IdeaPad Slim 3i",34690,I376="Mi NoteBook Ultra",57999,I376="Samsung Galaxy Go",36990,I376="Acer Aspire 3",38980)</f>
        <v>66989</v>
      </c>
      <c r="O376" s="5" t="s">
        <v>1030</v>
      </c>
    </row>
    <row r="377" spans="1:15" x14ac:dyDescent="0.35">
      <c r="A377" s="4">
        <v>20606</v>
      </c>
      <c r="B377" s="5" t="s">
        <v>90</v>
      </c>
      <c r="C377" s="5" t="s">
        <v>355</v>
      </c>
      <c r="D377" s="5" t="s">
        <v>1032</v>
      </c>
      <c r="E377" s="5" t="s">
        <v>1034</v>
      </c>
      <c r="F377" s="5" t="s">
        <v>1011</v>
      </c>
      <c r="G377" s="3" t="s">
        <v>1016</v>
      </c>
      <c r="H377" s="5" t="s">
        <v>658</v>
      </c>
      <c r="I377" s="5" t="s">
        <v>1025</v>
      </c>
      <c r="J377" s="4">
        <v>5260</v>
      </c>
      <c r="K377" s="1">
        <v>43833</v>
      </c>
      <c r="L377" s="1">
        <v>43835</v>
      </c>
      <c r="M377" s="4">
        <v>6</v>
      </c>
      <c r="N377" s="7" cm="1">
        <f t="array" ref="N377">_xlfn.IFS(I377="Dell Inspiron 15",66989,I377="Lenovo IdeaPad Slim 3i",34690,I377="Mi NoteBook Ultra",57999,I377="Samsung Galaxy Go",36990,I377="Acer Aspire 3",38980)</f>
        <v>57999</v>
      </c>
      <c r="O377" s="5" t="s">
        <v>1030</v>
      </c>
    </row>
    <row r="378" spans="1:15" x14ac:dyDescent="0.35">
      <c r="A378" s="4">
        <v>15840</v>
      </c>
      <c r="B378" s="5" t="s">
        <v>121</v>
      </c>
      <c r="C378" s="5" t="s">
        <v>426</v>
      </c>
      <c r="D378" s="5" t="s">
        <v>1032</v>
      </c>
      <c r="E378" s="5" t="s">
        <v>1033</v>
      </c>
      <c r="F378" s="5" t="s">
        <v>1010</v>
      </c>
      <c r="G378" s="3" t="s">
        <v>1015</v>
      </c>
      <c r="H378" s="5" t="s">
        <v>659</v>
      </c>
      <c r="I378" s="5" t="s">
        <v>1026</v>
      </c>
      <c r="J378" s="4">
        <v>4719</v>
      </c>
      <c r="K378" s="1">
        <v>43920</v>
      </c>
      <c r="L378" s="1">
        <v>43922</v>
      </c>
      <c r="M378" s="4">
        <v>3</v>
      </c>
      <c r="N378" s="7" cm="1">
        <f t="array" ref="N378">_xlfn.IFS(I378="Dell Inspiron 15",66989,I378="Lenovo IdeaPad Slim 3i",34690,I378="Mi NoteBook Ultra",57999,I378="Samsung Galaxy Go",36990,I378="Acer Aspire 3",38980)</f>
        <v>36990</v>
      </c>
      <c r="O378" s="5" t="s">
        <v>1030</v>
      </c>
    </row>
    <row r="379" spans="1:15" x14ac:dyDescent="0.35">
      <c r="A379" s="4">
        <v>23814</v>
      </c>
      <c r="B379" s="5" t="s">
        <v>41</v>
      </c>
      <c r="C379" s="5" t="s">
        <v>221</v>
      </c>
      <c r="D379" s="5" t="s">
        <v>1032</v>
      </c>
      <c r="E379" s="5" t="s">
        <v>1035</v>
      </c>
      <c r="F379" s="5" t="s">
        <v>1012</v>
      </c>
      <c r="G379" s="3" t="s">
        <v>1017</v>
      </c>
      <c r="H379" s="5" t="s">
        <v>660</v>
      </c>
      <c r="I379" s="5" t="s">
        <v>1027</v>
      </c>
      <c r="J379" s="4">
        <v>5143</v>
      </c>
      <c r="K379" s="1">
        <v>43840</v>
      </c>
      <c r="L379" s="1">
        <v>43841</v>
      </c>
      <c r="M379" s="4">
        <v>2</v>
      </c>
      <c r="N379" s="7" cm="1">
        <f t="array" ref="N379">_xlfn.IFS(I379="Dell Inspiron 15",66989,I379="Lenovo IdeaPad Slim 3i",34690,I379="Mi NoteBook Ultra",57999,I379="Samsung Galaxy Go",36990,I379="Acer Aspire 3",38980)</f>
        <v>38980</v>
      </c>
      <c r="O379" s="5" t="s">
        <v>1030</v>
      </c>
    </row>
    <row r="380" spans="1:15" x14ac:dyDescent="0.35">
      <c r="A380" s="4">
        <v>21507</v>
      </c>
      <c r="B380" s="5" t="s">
        <v>546</v>
      </c>
      <c r="C380" s="5" t="s">
        <v>81</v>
      </c>
      <c r="D380" s="5" t="s">
        <v>1032</v>
      </c>
      <c r="E380" s="5" t="s">
        <v>1035</v>
      </c>
      <c r="F380" s="5" t="s">
        <v>1012</v>
      </c>
      <c r="G380" s="3" t="s">
        <v>1017</v>
      </c>
      <c r="H380" s="5" t="s">
        <v>661</v>
      </c>
      <c r="I380" s="5" t="s">
        <v>1023</v>
      </c>
      <c r="J380" s="4">
        <v>5198</v>
      </c>
      <c r="K380" s="1">
        <v>43920</v>
      </c>
      <c r="L380" s="1">
        <v>43922</v>
      </c>
      <c r="M380" s="4">
        <v>10</v>
      </c>
      <c r="N380" s="7" cm="1">
        <f t="array" ref="N380">_xlfn.IFS(I380="Dell Inspiron 15",66989,I380="Lenovo IdeaPad Slim 3i",34690,I380="Mi NoteBook Ultra",57999,I380="Samsung Galaxy Go",36990,I380="Acer Aspire 3",38980)</f>
        <v>66989</v>
      </c>
      <c r="O380" s="5" t="s">
        <v>1030</v>
      </c>
    </row>
    <row r="381" spans="1:15" x14ac:dyDescent="0.35">
      <c r="A381" s="4">
        <v>23125</v>
      </c>
      <c r="B381" s="5" t="s">
        <v>20</v>
      </c>
      <c r="C381" s="5" t="s">
        <v>650</v>
      </c>
      <c r="D381" s="5" t="s">
        <v>1032</v>
      </c>
      <c r="E381" s="5" t="s">
        <v>1035</v>
      </c>
      <c r="F381" s="5" t="s">
        <v>1012</v>
      </c>
      <c r="G381" s="3" t="s">
        <v>1017</v>
      </c>
      <c r="H381" s="5" t="s">
        <v>662</v>
      </c>
      <c r="I381" s="5" t="s">
        <v>1025</v>
      </c>
      <c r="J381" s="4">
        <v>4947</v>
      </c>
      <c r="K381" s="1">
        <v>43923</v>
      </c>
      <c r="L381" s="1">
        <v>43925</v>
      </c>
      <c r="M381" s="4">
        <v>7</v>
      </c>
      <c r="N381" s="7" cm="1">
        <f t="array" ref="N381">_xlfn.IFS(I381="Dell Inspiron 15",66989,I381="Lenovo IdeaPad Slim 3i",34690,I381="Mi NoteBook Ultra",57999,I381="Samsung Galaxy Go",36990,I381="Acer Aspire 3",38980)</f>
        <v>57999</v>
      </c>
      <c r="O381" s="5" t="s">
        <v>1030</v>
      </c>
    </row>
    <row r="382" spans="1:15" x14ac:dyDescent="0.35">
      <c r="A382" s="4">
        <v>16616</v>
      </c>
      <c r="B382" s="5" t="s">
        <v>405</v>
      </c>
      <c r="C382" s="5" t="s">
        <v>67</v>
      </c>
      <c r="D382" s="5" t="s">
        <v>1032</v>
      </c>
      <c r="E382" s="5" t="s">
        <v>1035</v>
      </c>
      <c r="F382" s="5" t="s">
        <v>1012</v>
      </c>
      <c r="G382" s="3" t="s">
        <v>1017</v>
      </c>
      <c r="H382" s="5" t="s">
        <v>663</v>
      </c>
      <c r="I382" s="5" t="s">
        <v>1027</v>
      </c>
      <c r="J382" s="4">
        <v>4887</v>
      </c>
      <c r="K382" s="1">
        <v>43923</v>
      </c>
      <c r="L382" s="1">
        <v>43925</v>
      </c>
      <c r="M382" s="4">
        <v>3</v>
      </c>
      <c r="N382" s="7" cm="1">
        <f t="array" ref="N382">_xlfn.IFS(I382="Dell Inspiron 15",66989,I382="Lenovo IdeaPad Slim 3i",34690,I382="Mi NoteBook Ultra",57999,I382="Samsung Galaxy Go",36990,I382="Acer Aspire 3",38980)</f>
        <v>38980</v>
      </c>
      <c r="O382" s="5" t="s">
        <v>1030</v>
      </c>
    </row>
    <row r="383" spans="1:15" x14ac:dyDescent="0.35">
      <c r="A383" s="4">
        <v>20193</v>
      </c>
      <c r="B383" s="5" t="s">
        <v>433</v>
      </c>
      <c r="C383" s="5" t="s">
        <v>53</v>
      </c>
      <c r="D383" s="5" t="s">
        <v>1032</v>
      </c>
      <c r="E383" s="5" t="s">
        <v>1036</v>
      </c>
      <c r="F383" s="5" t="s">
        <v>1013</v>
      </c>
      <c r="G383" s="3" t="s">
        <v>1018</v>
      </c>
      <c r="H383" s="5" t="s">
        <v>664</v>
      </c>
      <c r="I383" s="5" t="s">
        <v>1023</v>
      </c>
      <c r="J383" s="4">
        <v>5321</v>
      </c>
      <c r="K383" s="1">
        <v>43948</v>
      </c>
      <c r="L383" s="1">
        <v>43949</v>
      </c>
      <c r="M383" s="4">
        <v>1</v>
      </c>
      <c r="N383" s="7" cm="1">
        <f t="array" ref="N383">_xlfn.IFS(I383="Dell Inspiron 15",66989,I383="Lenovo IdeaPad Slim 3i",34690,I383="Mi NoteBook Ultra",57999,I383="Samsung Galaxy Go",36990,I383="Acer Aspire 3",38980)</f>
        <v>66989</v>
      </c>
      <c r="O383" s="5" t="s">
        <v>1030</v>
      </c>
    </row>
    <row r="384" spans="1:15" x14ac:dyDescent="0.35">
      <c r="A384" s="4">
        <v>12920</v>
      </c>
      <c r="B384" s="5" t="s">
        <v>236</v>
      </c>
      <c r="C384" s="5" t="s">
        <v>665</v>
      </c>
      <c r="D384" s="5" t="s">
        <v>1032</v>
      </c>
      <c r="E384" s="5" t="s">
        <v>1033</v>
      </c>
      <c r="F384" s="5" t="s">
        <v>1010</v>
      </c>
      <c r="G384" s="3" t="s">
        <v>1015</v>
      </c>
      <c r="H384" s="5" t="s">
        <v>666</v>
      </c>
      <c r="I384" s="5" t="s">
        <v>1024</v>
      </c>
      <c r="J384" s="4">
        <v>5087</v>
      </c>
      <c r="K384" s="1">
        <v>43846</v>
      </c>
      <c r="L384" s="1">
        <v>43848</v>
      </c>
      <c r="M384" s="4">
        <v>2</v>
      </c>
      <c r="N384" s="7" cm="1">
        <f t="array" ref="N384">_xlfn.IFS(I384="Dell Inspiron 15",66989,I384="Lenovo IdeaPad Slim 3i",34690,I384="Mi NoteBook Ultra",57999,I384="Samsung Galaxy Go",36990,I384="Acer Aspire 3",38980)</f>
        <v>34690</v>
      </c>
      <c r="O384" s="5" t="s">
        <v>1030</v>
      </c>
    </row>
    <row r="385" spans="1:15" x14ac:dyDescent="0.35">
      <c r="A385" s="4">
        <v>15015</v>
      </c>
      <c r="B385" s="5" t="s">
        <v>104</v>
      </c>
      <c r="C385" s="5" t="s">
        <v>667</v>
      </c>
      <c r="D385" s="5" t="s">
        <v>1032</v>
      </c>
      <c r="E385" s="5" t="s">
        <v>1034</v>
      </c>
      <c r="F385" s="5" t="s">
        <v>1011</v>
      </c>
      <c r="G385" s="3" t="s">
        <v>1016</v>
      </c>
      <c r="H385" s="5" t="s">
        <v>668</v>
      </c>
      <c r="I385" s="5" t="s">
        <v>1026</v>
      </c>
      <c r="J385" s="4">
        <v>4712</v>
      </c>
      <c r="K385" s="1">
        <v>43847</v>
      </c>
      <c r="L385" s="1">
        <v>43851</v>
      </c>
      <c r="M385" s="4">
        <v>10</v>
      </c>
      <c r="N385" s="7" cm="1">
        <f t="array" ref="N385">_xlfn.IFS(I385="Dell Inspiron 15",66989,I385="Lenovo IdeaPad Slim 3i",34690,I385="Mi NoteBook Ultra",57999,I385="Samsung Galaxy Go",36990,I385="Acer Aspire 3",38980)</f>
        <v>36990</v>
      </c>
      <c r="O385" s="5" t="s">
        <v>1030</v>
      </c>
    </row>
    <row r="386" spans="1:15" x14ac:dyDescent="0.35">
      <c r="A386" s="4">
        <v>14124</v>
      </c>
      <c r="B386" s="5" t="s">
        <v>552</v>
      </c>
      <c r="C386" s="5" t="s">
        <v>96</v>
      </c>
      <c r="D386" s="5" t="s">
        <v>1032</v>
      </c>
      <c r="E386" s="5" t="s">
        <v>1033</v>
      </c>
      <c r="F386" s="5" t="s">
        <v>1010</v>
      </c>
      <c r="G386" s="3" t="s">
        <v>1015</v>
      </c>
      <c r="H386" s="5" t="s">
        <v>669</v>
      </c>
      <c r="I386" s="5" t="s">
        <v>1023</v>
      </c>
      <c r="J386" s="4">
        <v>5089</v>
      </c>
      <c r="K386" s="1">
        <v>43984</v>
      </c>
      <c r="L386" s="1">
        <v>43984</v>
      </c>
      <c r="M386" s="4">
        <v>4</v>
      </c>
      <c r="N386" s="7" cm="1">
        <f t="array" ref="N386">_xlfn.IFS(I386="Dell Inspiron 15",66989,I386="Lenovo IdeaPad Slim 3i",34690,I386="Mi NoteBook Ultra",57999,I386="Samsung Galaxy Go",36990,I386="Acer Aspire 3",38980)</f>
        <v>66989</v>
      </c>
      <c r="O386" s="5" t="s">
        <v>1030</v>
      </c>
    </row>
    <row r="387" spans="1:15" x14ac:dyDescent="0.35">
      <c r="A387" s="4">
        <v>22928</v>
      </c>
      <c r="B387" s="5" t="s">
        <v>47</v>
      </c>
      <c r="C387" s="5" t="s">
        <v>143</v>
      </c>
      <c r="D387" s="5" t="s">
        <v>1032</v>
      </c>
      <c r="E387" s="5" t="s">
        <v>1035</v>
      </c>
      <c r="F387" s="5" t="s">
        <v>1012</v>
      </c>
      <c r="G387" s="3" t="s">
        <v>1017</v>
      </c>
      <c r="H387" s="5" t="s">
        <v>670</v>
      </c>
      <c r="I387" s="5" t="s">
        <v>1027</v>
      </c>
      <c r="J387" s="4">
        <v>4860</v>
      </c>
      <c r="K387" s="1">
        <v>43984</v>
      </c>
      <c r="L387" s="1">
        <v>43984</v>
      </c>
      <c r="M387" s="4">
        <v>1</v>
      </c>
      <c r="N387" s="7" cm="1">
        <f t="array" ref="N387">_xlfn.IFS(I387="Dell Inspiron 15",66989,I387="Lenovo IdeaPad Slim 3i",34690,I387="Mi NoteBook Ultra",57999,I387="Samsung Galaxy Go",36990,I387="Acer Aspire 3",38980)</f>
        <v>38980</v>
      </c>
      <c r="O387" s="5" t="s">
        <v>1030</v>
      </c>
    </row>
    <row r="388" spans="1:15" x14ac:dyDescent="0.35">
      <c r="A388" s="4">
        <v>16097</v>
      </c>
      <c r="B388" s="5" t="s">
        <v>671</v>
      </c>
      <c r="C388" s="5" t="s">
        <v>24</v>
      </c>
      <c r="D388" s="5" t="s">
        <v>1032</v>
      </c>
      <c r="E388" s="5" t="s">
        <v>1035</v>
      </c>
      <c r="F388" s="5" t="s">
        <v>1012</v>
      </c>
      <c r="G388" s="3" t="s">
        <v>1017</v>
      </c>
      <c r="H388" s="5" t="s">
        <v>672</v>
      </c>
      <c r="I388" s="5" t="s">
        <v>1025</v>
      </c>
      <c r="J388" s="4">
        <v>4971</v>
      </c>
      <c r="K388" s="1">
        <v>43963</v>
      </c>
      <c r="L388" s="1">
        <v>43964</v>
      </c>
      <c r="M388" s="4">
        <v>2</v>
      </c>
      <c r="N388" s="7" cm="1">
        <f t="array" ref="N388">_xlfn.IFS(I388="Dell Inspiron 15",66989,I388="Lenovo IdeaPad Slim 3i",34690,I388="Mi NoteBook Ultra",57999,I388="Samsung Galaxy Go",36990,I388="Acer Aspire 3",38980)</f>
        <v>57999</v>
      </c>
      <c r="O388" s="5" t="s">
        <v>1030</v>
      </c>
    </row>
    <row r="389" spans="1:15" x14ac:dyDescent="0.35">
      <c r="A389" s="4">
        <v>24522</v>
      </c>
      <c r="B389" s="5" t="s">
        <v>265</v>
      </c>
      <c r="C389" s="5" t="s">
        <v>475</v>
      </c>
      <c r="D389" s="5" t="s">
        <v>1032</v>
      </c>
      <c r="E389" s="5" t="s">
        <v>1035</v>
      </c>
      <c r="F389" s="5" t="s">
        <v>1012</v>
      </c>
      <c r="G389" s="3" t="s">
        <v>1017</v>
      </c>
      <c r="H389" s="5" t="s">
        <v>673</v>
      </c>
      <c r="I389" s="5" t="s">
        <v>1026</v>
      </c>
      <c r="J389" s="4">
        <v>5093</v>
      </c>
      <c r="K389" s="1">
        <v>43929</v>
      </c>
      <c r="L389" s="1">
        <v>43930</v>
      </c>
      <c r="M389" s="4">
        <v>4</v>
      </c>
      <c r="N389" s="7" cm="1">
        <f t="array" ref="N389">_xlfn.IFS(I389="Dell Inspiron 15",66989,I389="Lenovo IdeaPad Slim 3i",34690,I389="Mi NoteBook Ultra",57999,I389="Samsung Galaxy Go",36990,I389="Acer Aspire 3",38980)</f>
        <v>36990</v>
      </c>
      <c r="O389" s="5" t="s">
        <v>1030</v>
      </c>
    </row>
    <row r="390" spans="1:15" x14ac:dyDescent="0.35">
      <c r="A390" s="4">
        <v>21663</v>
      </c>
      <c r="B390" s="5" t="s">
        <v>674</v>
      </c>
      <c r="C390" s="5" t="s">
        <v>206</v>
      </c>
      <c r="D390" s="5" t="s">
        <v>1032</v>
      </c>
      <c r="E390" s="5" t="s">
        <v>1036</v>
      </c>
      <c r="F390" s="5" t="s">
        <v>1013</v>
      </c>
      <c r="G390" s="3" t="s">
        <v>1018</v>
      </c>
      <c r="H390" s="5" t="s">
        <v>675</v>
      </c>
      <c r="I390" s="5" t="s">
        <v>1027</v>
      </c>
      <c r="J390" s="4">
        <v>5382</v>
      </c>
      <c r="K390" s="1">
        <v>43979</v>
      </c>
      <c r="L390" s="1">
        <v>43979</v>
      </c>
      <c r="M390" s="4">
        <v>6</v>
      </c>
      <c r="N390" s="7" cm="1">
        <f t="array" ref="N390">_xlfn.IFS(I390="Dell Inspiron 15",66989,I390="Lenovo IdeaPad Slim 3i",34690,I390="Mi NoteBook Ultra",57999,I390="Samsung Galaxy Go",36990,I390="Acer Aspire 3",38980)</f>
        <v>38980</v>
      </c>
      <c r="O390" s="5" t="s">
        <v>1030</v>
      </c>
    </row>
    <row r="391" spans="1:15" x14ac:dyDescent="0.35">
      <c r="A391" s="4">
        <v>14535</v>
      </c>
      <c r="B391" s="5" t="s">
        <v>433</v>
      </c>
      <c r="C391" s="5" t="s">
        <v>39</v>
      </c>
      <c r="D391" s="5" t="s">
        <v>1032</v>
      </c>
      <c r="E391" s="5" t="s">
        <v>1035</v>
      </c>
      <c r="F391" s="5" t="s">
        <v>1012</v>
      </c>
      <c r="G391" s="3" t="s">
        <v>1017</v>
      </c>
      <c r="H391" s="5" t="s">
        <v>676</v>
      </c>
      <c r="I391" s="5" t="s">
        <v>1023</v>
      </c>
      <c r="J391" s="4">
        <v>4695</v>
      </c>
      <c r="K391" s="1">
        <v>43873</v>
      </c>
      <c r="L391" s="1">
        <v>43876</v>
      </c>
      <c r="M391" s="4">
        <v>8</v>
      </c>
      <c r="N391" s="7" cm="1">
        <f t="array" ref="N391">_xlfn.IFS(I391="Dell Inspiron 15",66989,I391="Lenovo IdeaPad Slim 3i",34690,I391="Mi NoteBook Ultra",57999,I391="Samsung Galaxy Go",36990,I391="Acer Aspire 3",38980)</f>
        <v>66989</v>
      </c>
      <c r="O391" s="5" t="s">
        <v>1030</v>
      </c>
    </row>
    <row r="392" spans="1:15" x14ac:dyDescent="0.35">
      <c r="A392" s="4">
        <v>22169</v>
      </c>
      <c r="B392" s="5" t="s">
        <v>217</v>
      </c>
      <c r="C392" s="5" t="s">
        <v>509</v>
      </c>
      <c r="D392" s="5" t="s">
        <v>1032</v>
      </c>
      <c r="E392" s="5" t="s">
        <v>1035</v>
      </c>
      <c r="F392" s="5" t="s">
        <v>1012</v>
      </c>
      <c r="G392" s="3" t="s">
        <v>1017</v>
      </c>
      <c r="H392" s="5" t="s">
        <v>677</v>
      </c>
      <c r="I392" s="5" t="s">
        <v>1025</v>
      </c>
      <c r="J392" s="4">
        <v>5210</v>
      </c>
      <c r="K392" s="1">
        <v>43873</v>
      </c>
      <c r="L392" s="1">
        <v>43875</v>
      </c>
      <c r="M392" s="4">
        <v>5</v>
      </c>
      <c r="N392" s="7" cm="1">
        <f t="array" ref="N392">_xlfn.IFS(I392="Dell Inspiron 15",66989,I392="Lenovo IdeaPad Slim 3i",34690,I392="Mi NoteBook Ultra",57999,I392="Samsung Galaxy Go",36990,I392="Acer Aspire 3",38980)</f>
        <v>57999</v>
      </c>
      <c r="O392" s="5" t="s">
        <v>1030</v>
      </c>
    </row>
    <row r="393" spans="1:15" x14ac:dyDescent="0.35">
      <c r="A393" s="4">
        <v>14512</v>
      </c>
      <c r="B393" s="5" t="s">
        <v>630</v>
      </c>
      <c r="C393" s="5" t="s">
        <v>252</v>
      </c>
      <c r="D393" s="5" t="s">
        <v>1032</v>
      </c>
      <c r="E393" s="5" t="s">
        <v>1036</v>
      </c>
      <c r="F393" s="5" t="s">
        <v>1013</v>
      </c>
      <c r="G393" s="3" t="s">
        <v>1018</v>
      </c>
      <c r="H393" s="5" t="s">
        <v>678</v>
      </c>
      <c r="I393" s="5" t="s">
        <v>1027</v>
      </c>
      <c r="J393" s="4">
        <v>4916</v>
      </c>
      <c r="K393" s="1">
        <v>43966</v>
      </c>
      <c r="L393" s="1">
        <v>43967</v>
      </c>
      <c r="M393" s="4">
        <v>1</v>
      </c>
      <c r="N393" s="7" cm="1">
        <f t="array" ref="N393">_xlfn.IFS(I393="Dell Inspiron 15",66989,I393="Lenovo IdeaPad Slim 3i",34690,I393="Mi NoteBook Ultra",57999,I393="Samsung Galaxy Go",36990,I393="Acer Aspire 3",38980)</f>
        <v>38980</v>
      </c>
      <c r="O393" s="5" t="s">
        <v>1030</v>
      </c>
    </row>
    <row r="394" spans="1:15" x14ac:dyDescent="0.35">
      <c r="A394" s="4">
        <v>24325</v>
      </c>
      <c r="B394" s="5" t="s">
        <v>188</v>
      </c>
      <c r="C394" s="5" t="s">
        <v>88</v>
      </c>
      <c r="D394" s="5" t="s">
        <v>1032</v>
      </c>
      <c r="E394" s="5" t="s">
        <v>1036</v>
      </c>
      <c r="F394" s="5" t="s">
        <v>1013</v>
      </c>
      <c r="G394" s="3" t="s">
        <v>1018</v>
      </c>
      <c r="H394" s="5" t="s">
        <v>679</v>
      </c>
      <c r="I394" s="5" t="s">
        <v>1023</v>
      </c>
      <c r="J394" s="4">
        <v>4903</v>
      </c>
      <c r="K394" s="1">
        <v>43972</v>
      </c>
      <c r="L394" s="1">
        <v>43974</v>
      </c>
      <c r="M394" s="4">
        <v>5</v>
      </c>
      <c r="N394" s="7" cm="1">
        <f t="array" ref="N394">_xlfn.IFS(I394="Dell Inspiron 15",66989,I394="Lenovo IdeaPad Slim 3i",34690,I394="Mi NoteBook Ultra",57999,I394="Samsung Galaxy Go",36990,I394="Acer Aspire 3",38980)</f>
        <v>66989</v>
      </c>
      <c r="O394" s="5" t="s">
        <v>1030</v>
      </c>
    </row>
    <row r="395" spans="1:15" x14ac:dyDescent="0.35">
      <c r="A395" s="4">
        <v>18558</v>
      </c>
      <c r="B395" s="5" t="s">
        <v>52</v>
      </c>
      <c r="C395" s="5" t="s">
        <v>350</v>
      </c>
      <c r="D395" s="5" t="s">
        <v>1032</v>
      </c>
      <c r="E395" s="5" t="s">
        <v>1033</v>
      </c>
      <c r="F395" s="5" t="s">
        <v>1010</v>
      </c>
      <c r="G395" s="3" t="s">
        <v>1015</v>
      </c>
      <c r="H395" s="5" t="s">
        <v>680</v>
      </c>
      <c r="I395" s="5" t="s">
        <v>1024</v>
      </c>
      <c r="J395" s="4">
        <v>5429</v>
      </c>
      <c r="K395" s="1">
        <v>43966</v>
      </c>
      <c r="L395" s="1">
        <v>43967</v>
      </c>
      <c r="M395" s="4">
        <v>4</v>
      </c>
      <c r="N395" s="7" cm="1">
        <f t="array" ref="N395">_xlfn.IFS(I395="Dell Inspiron 15",66989,I395="Lenovo IdeaPad Slim 3i",34690,I395="Mi NoteBook Ultra",57999,I395="Samsung Galaxy Go",36990,I395="Acer Aspire 3",38980)</f>
        <v>34690</v>
      </c>
      <c r="O395" s="5" t="s">
        <v>1030</v>
      </c>
    </row>
    <row r="396" spans="1:15" x14ac:dyDescent="0.35">
      <c r="A396" s="4">
        <v>13240</v>
      </c>
      <c r="B396" s="5" t="s">
        <v>671</v>
      </c>
      <c r="C396" s="5" t="s">
        <v>303</v>
      </c>
      <c r="D396" s="5" t="s">
        <v>1032</v>
      </c>
      <c r="E396" s="5" t="s">
        <v>1034</v>
      </c>
      <c r="F396" s="5" t="s">
        <v>1011</v>
      </c>
      <c r="G396" s="3" t="s">
        <v>1016</v>
      </c>
      <c r="H396" s="5" t="s">
        <v>681</v>
      </c>
      <c r="I396" s="5" t="s">
        <v>1025</v>
      </c>
      <c r="J396" s="4">
        <v>5456</v>
      </c>
      <c r="K396" s="1">
        <v>43972</v>
      </c>
      <c r="L396" s="1">
        <v>43973</v>
      </c>
      <c r="M396" s="4">
        <v>2</v>
      </c>
      <c r="N396" s="7" cm="1">
        <f t="array" ref="N396">_xlfn.IFS(I396="Dell Inspiron 15",66989,I396="Lenovo IdeaPad Slim 3i",34690,I396="Mi NoteBook Ultra",57999,I396="Samsung Galaxy Go",36990,I396="Acer Aspire 3",38980)</f>
        <v>57999</v>
      </c>
      <c r="O396" s="5" t="s">
        <v>1030</v>
      </c>
    </row>
    <row r="397" spans="1:15" x14ac:dyDescent="0.35">
      <c r="A397" s="4">
        <v>13132</v>
      </c>
      <c r="B397" s="5" t="s">
        <v>223</v>
      </c>
      <c r="C397" s="5" t="s">
        <v>42</v>
      </c>
      <c r="D397" s="5" t="s">
        <v>1032</v>
      </c>
      <c r="E397" s="5" t="s">
        <v>1033</v>
      </c>
      <c r="F397" s="5" t="s">
        <v>1010</v>
      </c>
      <c r="G397" s="3" t="s">
        <v>1015</v>
      </c>
      <c r="H397" s="5" t="s">
        <v>682</v>
      </c>
      <c r="I397" s="5" t="s">
        <v>1026</v>
      </c>
      <c r="J397" s="4">
        <v>5260</v>
      </c>
      <c r="K397" s="1">
        <v>43972</v>
      </c>
      <c r="L397" s="1">
        <v>43974</v>
      </c>
      <c r="M397" s="4">
        <v>4</v>
      </c>
      <c r="N397" s="7" cm="1">
        <f t="array" ref="N397">_xlfn.IFS(I397="Dell Inspiron 15",66989,I397="Lenovo IdeaPad Slim 3i",34690,I397="Mi NoteBook Ultra",57999,I397="Samsung Galaxy Go",36990,I397="Acer Aspire 3",38980)</f>
        <v>36990</v>
      </c>
      <c r="O397" s="5" t="s">
        <v>1030</v>
      </c>
    </row>
    <row r="398" spans="1:15" x14ac:dyDescent="0.35">
      <c r="A398" s="4">
        <v>13232</v>
      </c>
      <c r="B398" s="5" t="s">
        <v>20</v>
      </c>
      <c r="C398" s="5" t="s">
        <v>102</v>
      </c>
      <c r="D398" s="5" t="s">
        <v>1032</v>
      </c>
      <c r="E398" s="5" t="s">
        <v>1035</v>
      </c>
      <c r="F398" s="5" t="s">
        <v>1012</v>
      </c>
      <c r="G398" s="3" t="s">
        <v>1017</v>
      </c>
      <c r="H398" s="5" t="s">
        <v>683</v>
      </c>
      <c r="I398" s="5" t="s">
        <v>1027</v>
      </c>
      <c r="J398" s="4">
        <v>5249</v>
      </c>
      <c r="K398" s="1">
        <v>43858</v>
      </c>
      <c r="L398" s="1">
        <v>43859</v>
      </c>
      <c r="M398" s="4">
        <v>1</v>
      </c>
      <c r="N398" s="7" cm="1">
        <f t="array" ref="N398">_xlfn.IFS(I398="Dell Inspiron 15",66989,I398="Lenovo IdeaPad Slim 3i",34690,I398="Mi NoteBook Ultra",57999,I398="Samsung Galaxy Go",36990,I398="Acer Aspire 3",38980)</f>
        <v>38980</v>
      </c>
      <c r="O398" s="5" t="s">
        <v>1030</v>
      </c>
    </row>
    <row r="399" spans="1:15" x14ac:dyDescent="0.35">
      <c r="A399" s="4">
        <v>18776</v>
      </c>
      <c r="B399" s="5" t="s">
        <v>293</v>
      </c>
      <c r="C399" s="5" t="s">
        <v>72</v>
      </c>
      <c r="D399" s="5" t="s">
        <v>1032</v>
      </c>
      <c r="E399" s="5" t="s">
        <v>1035</v>
      </c>
      <c r="F399" s="5" t="s">
        <v>1012</v>
      </c>
      <c r="G399" s="3" t="s">
        <v>1017</v>
      </c>
      <c r="H399" s="5" t="s">
        <v>684</v>
      </c>
      <c r="I399" s="5" t="s">
        <v>1023</v>
      </c>
      <c r="J399" s="4">
        <v>4940</v>
      </c>
      <c r="K399" s="1">
        <v>43858</v>
      </c>
      <c r="L399" s="1">
        <v>43860</v>
      </c>
      <c r="M399" s="4">
        <v>6</v>
      </c>
      <c r="N399" s="7" cm="1">
        <f t="array" ref="N399">_xlfn.IFS(I399="Dell Inspiron 15",66989,I399="Lenovo IdeaPad Slim 3i",34690,I399="Mi NoteBook Ultra",57999,I399="Samsung Galaxy Go",36990,I399="Acer Aspire 3",38980)</f>
        <v>66989</v>
      </c>
      <c r="O399" s="5" t="s">
        <v>1030</v>
      </c>
    </row>
    <row r="400" spans="1:15" x14ac:dyDescent="0.35">
      <c r="A400" s="4">
        <v>13445</v>
      </c>
      <c r="B400" s="5" t="s">
        <v>314</v>
      </c>
      <c r="C400" s="5" t="s">
        <v>578</v>
      </c>
      <c r="D400" s="5" t="s">
        <v>1032</v>
      </c>
      <c r="E400" s="5" t="s">
        <v>1036</v>
      </c>
      <c r="F400" s="5" t="s">
        <v>1013</v>
      </c>
      <c r="G400" s="3" t="s">
        <v>1018</v>
      </c>
      <c r="H400" s="5" t="s">
        <v>685</v>
      </c>
      <c r="I400" s="5" t="s">
        <v>1025</v>
      </c>
      <c r="J400" s="4">
        <v>5288</v>
      </c>
      <c r="K400" s="1">
        <v>43953</v>
      </c>
      <c r="L400" s="1">
        <v>43955</v>
      </c>
      <c r="M400" s="4">
        <v>3</v>
      </c>
      <c r="N400" s="7" cm="1">
        <f t="array" ref="N400">_xlfn.IFS(I400="Dell Inspiron 15",66989,I400="Lenovo IdeaPad Slim 3i",34690,I400="Mi NoteBook Ultra",57999,I400="Samsung Galaxy Go",36990,I400="Acer Aspire 3",38980)</f>
        <v>57999</v>
      </c>
      <c r="O400" s="5" t="s">
        <v>1030</v>
      </c>
    </row>
    <row r="401" spans="1:15" x14ac:dyDescent="0.35">
      <c r="A401" s="4">
        <v>14243</v>
      </c>
      <c r="B401" s="5" t="s">
        <v>188</v>
      </c>
      <c r="C401" s="5" t="s">
        <v>197</v>
      </c>
      <c r="D401" s="5" t="s">
        <v>1032</v>
      </c>
      <c r="E401" s="5" t="s">
        <v>1033</v>
      </c>
      <c r="F401" s="5" t="s">
        <v>1010</v>
      </c>
      <c r="G401" s="3" t="s">
        <v>1015</v>
      </c>
      <c r="H401" s="5" t="s">
        <v>686</v>
      </c>
      <c r="I401" s="5" t="s">
        <v>1027</v>
      </c>
      <c r="J401" s="4">
        <v>4534</v>
      </c>
      <c r="K401" s="1">
        <v>43883</v>
      </c>
      <c r="L401" s="1">
        <v>43884</v>
      </c>
      <c r="M401" s="4">
        <v>4</v>
      </c>
      <c r="N401" s="7" cm="1">
        <f t="array" ref="N401">_xlfn.IFS(I401="Dell Inspiron 15",66989,I401="Lenovo IdeaPad Slim 3i",34690,I401="Mi NoteBook Ultra",57999,I401="Samsung Galaxy Go",36990,I401="Acer Aspire 3",38980)</f>
        <v>38980</v>
      </c>
      <c r="O401" s="5" t="s">
        <v>1030</v>
      </c>
    </row>
    <row r="402" spans="1:15" x14ac:dyDescent="0.35">
      <c r="A402" s="4">
        <v>15484</v>
      </c>
      <c r="B402" s="5" t="s">
        <v>687</v>
      </c>
      <c r="C402" s="5" t="s">
        <v>149</v>
      </c>
      <c r="D402" s="5" t="s">
        <v>1032</v>
      </c>
      <c r="E402" s="5" t="s">
        <v>1034</v>
      </c>
      <c r="F402" s="5" t="s">
        <v>1011</v>
      </c>
      <c r="G402" s="3" t="s">
        <v>1016</v>
      </c>
      <c r="H402" s="5" t="s">
        <v>688</v>
      </c>
      <c r="I402" s="5" t="s">
        <v>1023</v>
      </c>
      <c r="J402" s="4">
        <v>5413</v>
      </c>
      <c r="K402" s="1">
        <v>43917</v>
      </c>
      <c r="L402" s="1">
        <v>43918</v>
      </c>
      <c r="M402" s="4">
        <v>10</v>
      </c>
      <c r="N402" s="7" cm="1">
        <f t="array" ref="N402">_xlfn.IFS(I402="Dell Inspiron 15",66989,I402="Lenovo IdeaPad Slim 3i",34690,I402="Mi NoteBook Ultra",57999,I402="Samsung Galaxy Go",36990,I402="Acer Aspire 3",38980)</f>
        <v>66989</v>
      </c>
      <c r="O402" s="5" t="s">
        <v>1030</v>
      </c>
    </row>
    <row r="403" spans="1:15" x14ac:dyDescent="0.35">
      <c r="A403" s="4">
        <v>18138</v>
      </c>
      <c r="B403" s="5" t="s">
        <v>277</v>
      </c>
      <c r="C403" s="5" t="s">
        <v>472</v>
      </c>
      <c r="D403" s="5" t="s">
        <v>1032</v>
      </c>
      <c r="E403" s="5" t="s">
        <v>1033</v>
      </c>
      <c r="F403" s="5" t="s">
        <v>1010</v>
      </c>
      <c r="G403" s="3" t="s">
        <v>1015</v>
      </c>
      <c r="H403" s="5" t="s">
        <v>689</v>
      </c>
      <c r="I403" s="5" t="s">
        <v>1024</v>
      </c>
      <c r="J403" s="4">
        <v>5213</v>
      </c>
      <c r="K403" s="1">
        <v>43850</v>
      </c>
      <c r="L403" s="1">
        <v>43852</v>
      </c>
      <c r="M403" s="4">
        <v>1</v>
      </c>
      <c r="N403" s="7" cm="1">
        <f t="array" ref="N403">_xlfn.IFS(I403="Dell Inspiron 15",66989,I403="Lenovo IdeaPad Slim 3i",34690,I403="Mi NoteBook Ultra",57999,I403="Samsung Galaxy Go",36990,I403="Acer Aspire 3",38980)</f>
        <v>34690</v>
      </c>
      <c r="O403" s="5" t="s">
        <v>1030</v>
      </c>
    </row>
    <row r="404" spans="1:15" x14ac:dyDescent="0.35">
      <c r="A404" s="4">
        <v>15465</v>
      </c>
      <c r="B404" s="5" t="s">
        <v>546</v>
      </c>
      <c r="C404" s="5" t="s">
        <v>140</v>
      </c>
      <c r="D404" s="5" t="s">
        <v>1032</v>
      </c>
      <c r="E404" s="5" t="s">
        <v>1035</v>
      </c>
      <c r="F404" s="5" t="s">
        <v>1012</v>
      </c>
      <c r="G404" s="3" t="s">
        <v>1017</v>
      </c>
      <c r="H404" s="5" t="s">
        <v>690</v>
      </c>
      <c r="I404" s="5" t="s">
        <v>1026</v>
      </c>
      <c r="J404" s="4">
        <v>5026</v>
      </c>
      <c r="K404" s="1">
        <v>43902</v>
      </c>
      <c r="L404" s="1">
        <v>43909</v>
      </c>
      <c r="M404" s="4">
        <v>1</v>
      </c>
      <c r="N404" s="7" cm="1">
        <f t="array" ref="N404">_xlfn.IFS(I404="Dell Inspiron 15",66989,I404="Lenovo IdeaPad Slim 3i",34690,I404="Mi NoteBook Ultra",57999,I404="Samsung Galaxy Go",36990,I404="Acer Aspire 3",38980)</f>
        <v>36990</v>
      </c>
      <c r="O404" s="5" t="s">
        <v>1030</v>
      </c>
    </row>
    <row r="405" spans="1:15" x14ac:dyDescent="0.35">
      <c r="A405" s="4">
        <v>15225</v>
      </c>
      <c r="B405" s="5" t="s">
        <v>214</v>
      </c>
      <c r="C405" s="5" t="s">
        <v>254</v>
      </c>
      <c r="D405" s="5" t="s">
        <v>1032</v>
      </c>
      <c r="E405" s="5" t="s">
        <v>1035</v>
      </c>
      <c r="F405" s="5" t="s">
        <v>1012</v>
      </c>
      <c r="G405" s="3" t="s">
        <v>1017</v>
      </c>
      <c r="H405" s="5" t="s">
        <v>691</v>
      </c>
      <c r="I405" s="5" t="s">
        <v>1023</v>
      </c>
      <c r="J405" s="4">
        <v>4976</v>
      </c>
      <c r="K405" s="1">
        <v>43997</v>
      </c>
      <c r="L405" s="1">
        <v>43999</v>
      </c>
      <c r="M405" s="4">
        <v>7</v>
      </c>
      <c r="N405" s="7" cm="1">
        <f t="array" ref="N405">_xlfn.IFS(I405="Dell Inspiron 15",66989,I405="Lenovo IdeaPad Slim 3i",34690,I405="Mi NoteBook Ultra",57999,I405="Samsung Galaxy Go",36990,I405="Acer Aspire 3",38980)</f>
        <v>66989</v>
      </c>
      <c r="O405" s="5" t="s">
        <v>1030</v>
      </c>
    </row>
    <row r="406" spans="1:15" x14ac:dyDescent="0.35">
      <c r="A406" s="4">
        <v>23386</v>
      </c>
      <c r="B406" s="5" t="s">
        <v>11</v>
      </c>
      <c r="C406" s="5" t="s">
        <v>174</v>
      </c>
      <c r="D406" s="5" t="s">
        <v>1032</v>
      </c>
      <c r="E406" s="5" t="s">
        <v>1036</v>
      </c>
      <c r="F406" s="5" t="s">
        <v>1013</v>
      </c>
      <c r="G406" s="3" t="s">
        <v>1018</v>
      </c>
      <c r="H406" s="5" t="s">
        <v>692</v>
      </c>
      <c r="I406" s="5" t="s">
        <v>1027</v>
      </c>
      <c r="J406" s="4">
        <v>4959</v>
      </c>
      <c r="K406" s="1">
        <v>43997</v>
      </c>
      <c r="L406" s="1">
        <v>43998</v>
      </c>
      <c r="M406" s="4">
        <v>5</v>
      </c>
      <c r="N406" s="7" cm="1">
        <f t="array" ref="N406">_xlfn.IFS(I406="Dell Inspiron 15",66989,I406="Lenovo IdeaPad Slim 3i",34690,I406="Mi NoteBook Ultra",57999,I406="Samsung Galaxy Go",36990,I406="Acer Aspire 3",38980)</f>
        <v>38980</v>
      </c>
      <c r="O406" s="5" t="s">
        <v>1030</v>
      </c>
    </row>
    <row r="407" spans="1:15" x14ac:dyDescent="0.35">
      <c r="A407" s="4">
        <v>19933</v>
      </c>
      <c r="B407" s="5" t="s">
        <v>77</v>
      </c>
      <c r="C407" s="5" t="s">
        <v>571</v>
      </c>
      <c r="D407" s="5" t="s">
        <v>1032</v>
      </c>
      <c r="E407" s="5" t="s">
        <v>1033</v>
      </c>
      <c r="F407" s="5" t="s">
        <v>1010</v>
      </c>
      <c r="G407" s="3" t="s">
        <v>1015</v>
      </c>
      <c r="H407" s="5" t="s">
        <v>693</v>
      </c>
      <c r="I407" s="5" t="s">
        <v>1025</v>
      </c>
      <c r="J407" s="4">
        <v>4873</v>
      </c>
      <c r="K407" s="1">
        <v>43961</v>
      </c>
      <c r="L407" s="1">
        <v>43962</v>
      </c>
      <c r="M407" s="4">
        <v>7</v>
      </c>
      <c r="N407" s="7" cm="1">
        <f t="array" ref="N407">_xlfn.IFS(I407="Dell Inspiron 15",66989,I407="Lenovo IdeaPad Slim 3i",34690,I407="Mi NoteBook Ultra",57999,I407="Samsung Galaxy Go",36990,I407="Acer Aspire 3",38980)</f>
        <v>57999</v>
      </c>
      <c r="O407" s="5" t="s">
        <v>1030</v>
      </c>
    </row>
    <row r="408" spans="1:15" x14ac:dyDescent="0.35">
      <c r="A408" s="4">
        <v>14983</v>
      </c>
      <c r="B408" s="5" t="s">
        <v>635</v>
      </c>
      <c r="C408" s="5" t="s">
        <v>694</v>
      </c>
      <c r="D408" s="5" t="s">
        <v>1032</v>
      </c>
      <c r="E408" s="5" t="s">
        <v>1036</v>
      </c>
      <c r="F408" s="5" t="s">
        <v>1013</v>
      </c>
      <c r="G408" s="3" t="s">
        <v>1018</v>
      </c>
      <c r="H408" s="5" t="s">
        <v>695</v>
      </c>
      <c r="I408" s="5" t="s">
        <v>1026</v>
      </c>
      <c r="J408" s="4">
        <v>5494</v>
      </c>
      <c r="K408" s="1">
        <v>43900</v>
      </c>
      <c r="L408" s="1">
        <v>43900</v>
      </c>
      <c r="M408" s="4">
        <v>8</v>
      </c>
      <c r="N408" s="7" cm="1">
        <f t="array" ref="N408">_xlfn.IFS(I408="Dell Inspiron 15",66989,I408="Lenovo IdeaPad Slim 3i",34690,I408="Mi NoteBook Ultra",57999,I408="Samsung Galaxy Go",36990,I408="Acer Aspire 3",38980)</f>
        <v>36990</v>
      </c>
      <c r="O408" s="5" t="s">
        <v>1030</v>
      </c>
    </row>
    <row r="409" spans="1:15" x14ac:dyDescent="0.35">
      <c r="A409" s="4">
        <v>25457</v>
      </c>
      <c r="B409" s="5" t="s">
        <v>577</v>
      </c>
      <c r="C409" s="5" t="s">
        <v>7</v>
      </c>
      <c r="D409" s="5" t="s">
        <v>1032</v>
      </c>
      <c r="E409" s="5" t="s">
        <v>1033</v>
      </c>
      <c r="F409" s="5" t="s">
        <v>1010</v>
      </c>
      <c r="G409" s="3" t="s">
        <v>1015</v>
      </c>
      <c r="H409" s="5" t="s">
        <v>696</v>
      </c>
      <c r="I409" s="5" t="s">
        <v>1027</v>
      </c>
      <c r="J409" s="4">
        <v>5412</v>
      </c>
      <c r="K409" s="1">
        <v>43858</v>
      </c>
      <c r="L409" s="1">
        <v>43860</v>
      </c>
      <c r="M409" s="4">
        <v>10</v>
      </c>
      <c r="N409" s="7" cm="1">
        <f t="array" ref="N409">_xlfn.IFS(I409="Dell Inspiron 15",66989,I409="Lenovo IdeaPad Slim 3i",34690,I409="Mi NoteBook Ultra",57999,I409="Samsung Galaxy Go",36990,I409="Acer Aspire 3",38980)</f>
        <v>38980</v>
      </c>
      <c r="O409" s="5" t="s">
        <v>1030</v>
      </c>
    </row>
    <row r="410" spans="1:15" x14ac:dyDescent="0.35">
      <c r="A410" s="4">
        <v>16186</v>
      </c>
      <c r="B410" s="5" t="s">
        <v>577</v>
      </c>
      <c r="C410" s="5" t="s">
        <v>430</v>
      </c>
      <c r="D410" s="5" t="s">
        <v>1032</v>
      </c>
      <c r="E410" s="5" t="s">
        <v>1034</v>
      </c>
      <c r="F410" s="5" t="s">
        <v>1011</v>
      </c>
      <c r="G410" s="3" t="s">
        <v>1016</v>
      </c>
      <c r="H410" s="5" t="s">
        <v>697</v>
      </c>
      <c r="I410" s="5" t="s">
        <v>1023</v>
      </c>
      <c r="J410" s="4">
        <v>5050</v>
      </c>
      <c r="K410" s="1">
        <v>43900</v>
      </c>
      <c r="L410" s="1">
        <v>43901</v>
      </c>
      <c r="M410" s="4">
        <v>7</v>
      </c>
      <c r="N410" s="7" cm="1">
        <f t="array" ref="N410">_xlfn.IFS(I410="Dell Inspiron 15",66989,I410="Lenovo IdeaPad Slim 3i",34690,I410="Mi NoteBook Ultra",57999,I410="Samsung Galaxy Go",36990,I410="Acer Aspire 3",38980)</f>
        <v>66989</v>
      </c>
      <c r="O410" s="5" t="s">
        <v>1030</v>
      </c>
    </row>
    <row r="411" spans="1:15" x14ac:dyDescent="0.35">
      <c r="A411" s="4">
        <v>23501</v>
      </c>
      <c r="B411" s="5" t="s">
        <v>7</v>
      </c>
      <c r="C411" s="5" t="s">
        <v>249</v>
      </c>
      <c r="D411" s="5" t="s">
        <v>1032</v>
      </c>
      <c r="E411" s="5" t="s">
        <v>1033</v>
      </c>
      <c r="F411" s="5" t="s">
        <v>1010</v>
      </c>
      <c r="G411" s="3" t="s">
        <v>1015</v>
      </c>
      <c r="H411" s="5" t="s">
        <v>698</v>
      </c>
      <c r="I411" s="5" t="s">
        <v>1025</v>
      </c>
      <c r="J411" s="4">
        <v>4722</v>
      </c>
      <c r="K411" s="1">
        <v>43941</v>
      </c>
      <c r="L411" s="1">
        <v>43942</v>
      </c>
      <c r="M411" s="4">
        <v>5</v>
      </c>
      <c r="N411" s="7" cm="1">
        <f t="array" ref="N411">_xlfn.IFS(I411="Dell Inspiron 15",66989,I411="Lenovo IdeaPad Slim 3i",34690,I411="Mi NoteBook Ultra",57999,I411="Samsung Galaxy Go",36990,I411="Acer Aspire 3",38980)</f>
        <v>57999</v>
      </c>
      <c r="O411" s="5" t="s">
        <v>1030</v>
      </c>
    </row>
    <row r="412" spans="1:15" x14ac:dyDescent="0.35">
      <c r="A412" s="4">
        <v>14470</v>
      </c>
      <c r="B412" s="5" t="s">
        <v>638</v>
      </c>
      <c r="C412" s="5" t="s">
        <v>140</v>
      </c>
      <c r="D412" s="5" t="s">
        <v>1032</v>
      </c>
      <c r="E412" s="5" t="s">
        <v>1035</v>
      </c>
      <c r="F412" s="5" t="s">
        <v>1012</v>
      </c>
      <c r="G412" s="3" t="s">
        <v>1017</v>
      </c>
      <c r="H412" s="5" t="s">
        <v>699</v>
      </c>
      <c r="I412" s="5" t="s">
        <v>1027</v>
      </c>
      <c r="J412" s="4">
        <v>5317</v>
      </c>
      <c r="K412" s="1">
        <v>43941</v>
      </c>
      <c r="L412" s="1">
        <v>43942</v>
      </c>
      <c r="M412" s="4">
        <v>10</v>
      </c>
      <c r="N412" s="7" cm="1">
        <f t="array" ref="N412">_xlfn.IFS(I412="Dell Inspiron 15",66989,I412="Lenovo IdeaPad Slim 3i",34690,I412="Mi NoteBook Ultra",57999,I412="Samsung Galaxy Go",36990,I412="Acer Aspire 3",38980)</f>
        <v>38980</v>
      </c>
      <c r="O412" s="5" t="s">
        <v>1030</v>
      </c>
    </row>
    <row r="413" spans="1:15" x14ac:dyDescent="0.35">
      <c r="A413" s="4">
        <v>19347</v>
      </c>
      <c r="B413" s="5" t="s">
        <v>288</v>
      </c>
      <c r="C413" s="5" t="s">
        <v>111</v>
      </c>
      <c r="D413" s="5" t="s">
        <v>1032</v>
      </c>
      <c r="E413" s="5" t="s">
        <v>1033</v>
      </c>
      <c r="F413" s="5" t="s">
        <v>1010</v>
      </c>
      <c r="G413" s="3" t="s">
        <v>1015</v>
      </c>
      <c r="H413" s="5" t="s">
        <v>700</v>
      </c>
      <c r="I413" s="5" t="s">
        <v>1023</v>
      </c>
      <c r="J413" s="4">
        <v>4976</v>
      </c>
      <c r="K413" s="1">
        <v>43960</v>
      </c>
      <c r="L413" s="1">
        <v>43962</v>
      </c>
      <c r="M413" s="4">
        <v>3</v>
      </c>
      <c r="N413" s="7" cm="1">
        <f t="array" ref="N413">_xlfn.IFS(I413="Dell Inspiron 15",66989,I413="Lenovo IdeaPad Slim 3i",34690,I413="Mi NoteBook Ultra",57999,I413="Samsung Galaxy Go",36990,I413="Acer Aspire 3",38980)</f>
        <v>66989</v>
      </c>
      <c r="O413" s="5" t="s">
        <v>1030</v>
      </c>
    </row>
    <row r="414" spans="1:15" x14ac:dyDescent="0.35">
      <c r="A414" s="4">
        <v>15780</v>
      </c>
      <c r="B414" s="5" t="s">
        <v>340</v>
      </c>
      <c r="C414" s="5" t="s">
        <v>53</v>
      </c>
      <c r="D414" s="5" t="s">
        <v>1032</v>
      </c>
      <c r="E414" s="5" t="s">
        <v>1034</v>
      </c>
      <c r="F414" s="5" t="s">
        <v>1011</v>
      </c>
      <c r="G414" s="3" t="s">
        <v>1016</v>
      </c>
      <c r="H414" s="5" t="s">
        <v>701</v>
      </c>
      <c r="I414" s="5" t="s">
        <v>1024</v>
      </c>
      <c r="J414" s="4">
        <v>5031</v>
      </c>
      <c r="K414" s="1">
        <v>43994</v>
      </c>
      <c r="L414" s="1">
        <v>43996</v>
      </c>
      <c r="M414" s="4">
        <v>6</v>
      </c>
      <c r="N414" s="7" cm="1">
        <f t="array" ref="N414">_xlfn.IFS(I414="Dell Inspiron 15",66989,I414="Lenovo IdeaPad Slim 3i",34690,I414="Mi NoteBook Ultra",57999,I414="Samsung Galaxy Go",36990,I414="Acer Aspire 3",38980)</f>
        <v>34690</v>
      </c>
      <c r="O414" s="5" t="s">
        <v>1030</v>
      </c>
    </row>
    <row r="415" spans="1:15" x14ac:dyDescent="0.35">
      <c r="A415" s="4">
        <v>20077</v>
      </c>
      <c r="B415" s="5" t="s">
        <v>702</v>
      </c>
      <c r="C415" s="5" t="s">
        <v>343</v>
      </c>
      <c r="D415" s="5" t="s">
        <v>1032</v>
      </c>
      <c r="E415" s="5" t="s">
        <v>1033</v>
      </c>
      <c r="F415" s="5" t="s">
        <v>1010</v>
      </c>
      <c r="G415" s="3" t="s">
        <v>1015</v>
      </c>
      <c r="H415" s="5" t="s">
        <v>703</v>
      </c>
      <c r="I415" s="5" t="s">
        <v>1023</v>
      </c>
      <c r="J415" s="4">
        <v>5104</v>
      </c>
      <c r="K415" s="1">
        <v>43892</v>
      </c>
      <c r="L415" s="1">
        <v>43894</v>
      </c>
      <c r="M415" s="4">
        <v>1</v>
      </c>
      <c r="N415" s="7" cm="1">
        <f t="array" ref="N415">_xlfn.IFS(I415="Dell Inspiron 15",66989,I415="Lenovo IdeaPad Slim 3i",34690,I415="Mi NoteBook Ultra",57999,I415="Samsung Galaxy Go",36990,I415="Acer Aspire 3",38980)</f>
        <v>66989</v>
      </c>
      <c r="O415" s="5" t="s">
        <v>1030</v>
      </c>
    </row>
    <row r="416" spans="1:15" x14ac:dyDescent="0.35">
      <c r="A416" s="4">
        <v>25261</v>
      </c>
      <c r="B416" s="5" t="s">
        <v>583</v>
      </c>
      <c r="C416" s="5" t="s">
        <v>303</v>
      </c>
      <c r="D416" s="5" t="s">
        <v>1032</v>
      </c>
      <c r="E416" s="5" t="s">
        <v>1035</v>
      </c>
      <c r="F416" s="5" t="s">
        <v>1012</v>
      </c>
      <c r="G416" s="3" t="s">
        <v>1017</v>
      </c>
      <c r="H416" s="5" t="s">
        <v>704</v>
      </c>
      <c r="I416" s="5" t="s">
        <v>1024</v>
      </c>
      <c r="J416" s="4">
        <v>4702</v>
      </c>
      <c r="K416" s="1">
        <v>43892</v>
      </c>
      <c r="L416" s="1">
        <v>43892</v>
      </c>
      <c r="M416" s="4">
        <v>9</v>
      </c>
      <c r="N416" s="7" cm="1">
        <f t="array" ref="N416">_xlfn.IFS(I416="Dell Inspiron 15",66989,I416="Lenovo IdeaPad Slim 3i",34690,I416="Mi NoteBook Ultra",57999,I416="Samsung Galaxy Go",36990,I416="Acer Aspire 3",38980)</f>
        <v>34690</v>
      </c>
      <c r="O416" s="5" t="s">
        <v>1030</v>
      </c>
    </row>
    <row r="417" spans="1:15" x14ac:dyDescent="0.35">
      <c r="A417" s="4">
        <v>16797</v>
      </c>
      <c r="B417" s="5" t="s">
        <v>705</v>
      </c>
      <c r="C417" s="5" t="s">
        <v>149</v>
      </c>
      <c r="D417" s="5" t="s">
        <v>1032</v>
      </c>
      <c r="E417" s="5" t="s">
        <v>1035</v>
      </c>
      <c r="F417" s="5" t="s">
        <v>1012</v>
      </c>
      <c r="G417" s="3" t="s">
        <v>1017</v>
      </c>
      <c r="H417" s="5" t="s">
        <v>706</v>
      </c>
      <c r="I417" s="5" t="s">
        <v>1025</v>
      </c>
      <c r="J417" s="4">
        <v>4744</v>
      </c>
      <c r="K417" s="1">
        <v>43832</v>
      </c>
      <c r="L417" s="1">
        <v>43839</v>
      </c>
      <c r="M417" s="4">
        <v>10</v>
      </c>
      <c r="N417" s="7" cm="1">
        <f t="array" ref="N417">_xlfn.IFS(I417="Dell Inspiron 15",66989,I417="Lenovo IdeaPad Slim 3i",34690,I417="Mi NoteBook Ultra",57999,I417="Samsung Galaxy Go",36990,I417="Acer Aspire 3",38980)</f>
        <v>57999</v>
      </c>
      <c r="O417" s="5" t="s">
        <v>1030</v>
      </c>
    </row>
    <row r="418" spans="1:15" x14ac:dyDescent="0.35">
      <c r="A418" s="4">
        <v>18707</v>
      </c>
      <c r="B418" s="5" t="s">
        <v>52</v>
      </c>
      <c r="C418" s="5" t="s">
        <v>140</v>
      </c>
      <c r="D418" s="5" t="s">
        <v>1032</v>
      </c>
      <c r="E418" s="5" t="s">
        <v>1035</v>
      </c>
      <c r="F418" s="5" t="s">
        <v>1012</v>
      </c>
      <c r="G418" s="3" t="s">
        <v>1017</v>
      </c>
      <c r="H418" s="5" t="s">
        <v>707</v>
      </c>
      <c r="I418" s="5" t="s">
        <v>1026</v>
      </c>
      <c r="J418" s="4">
        <v>5210</v>
      </c>
      <c r="K418" s="1">
        <v>43832</v>
      </c>
      <c r="L418" s="1">
        <v>43832</v>
      </c>
      <c r="M418" s="4">
        <v>2</v>
      </c>
      <c r="N418" s="7" cm="1">
        <f t="array" ref="N418">_xlfn.IFS(I418="Dell Inspiron 15",66989,I418="Lenovo IdeaPad Slim 3i",34690,I418="Mi NoteBook Ultra",57999,I418="Samsung Galaxy Go",36990,I418="Acer Aspire 3",38980)</f>
        <v>36990</v>
      </c>
      <c r="O418" s="5" t="s">
        <v>1030</v>
      </c>
    </row>
    <row r="419" spans="1:15" x14ac:dyDescent="0.35">
      <c r="A419" s="4">
        <v>24128</v>
      </c>
      <c r="B419" s="5" t="s">
        <v>708</v>
      </c>
      <c r="C419" s="5" t="s">
        <v>42</v>
      </c>
      <c r="D419" s="5" t="s">
        <v>1032</v>
      </c>
      <c r="E419" s="5" t="s">
        <v>1035</v>
      </c>
      <c r="F419" s="5" t="s">
        <v>1012</v>
      </c>
      <c r="G419" s="3" t="s">
        <v>1017</v>
      </c>
      <c r="H419" s="5" t="s">
        <v>709</v>
      </c>
      <c r="I419" s="5" t="s">
        <v>1027</v>
      </c>
      <c r="J419" s="4">
        <v>4662</v>
      </c>
      <c r="K419" s="1">
        <v>43832</v>
      </c>
      <c r="L419" s="1">
        <v>43834</v>
      </c>
      <c r="M419" s="4">
        <v>6</v>
      </c>
      <c r="N419" s="7" cm="1">
        <f t="array" ref="N419">_xlfn.IFS(I419="Dell Inspiron 15",66989,I419="Lenovo IdeaPad Slim 3i",34690,I419="Mi NoteBook Ultra",57999,I419="Samsung Galaxy Go",36990,I419="Acer Aspire 3",38980)</f>
        <v>38980</v>
      </c>
      <c r="O419" s="5" t="s">
        <v>1030</v>
      </c>
    </row>
    <row r="420" spans="1:15" x14ac:dyDescent="0.35">
      <c r="A420" s="4">
        <v>23715</v>
      </c>
      <c r="B420" s="5" t="s">
        <v>60</v>
      </c>
      <c r="C420" s="5" t="s">
        <v>195</v>
      </c>
      <c r="D420" s="5" t="s">
        <v>1032</v>
      </c>
      <c r="E420" s="5" t="s">
        <v>1036</v>
      </c>
      <c r="F420" s="5" t="s">
        <v>1013</v>
      </c>
      <c r="G420" s="3" t="s">
        <v>1018</v>
      </c>
      <c r="H420" s="5" t="s">
        <v>710</v>
      </c>
      <c r="I420" s="5" t="s">
        <v>1023</v>
      </c>
      <c r="J420" s="4">
        <v>5220</v>
      </c>
      <c r="K420" s="1">
        <v>43832</v>
      </c>
      <c r="L420" s="1">
        <v>43839</v>
      </c>
      <c r="M420" s="4">
        <v>9</v>
      </c>
      <c r="N420" s="7" cm="1">
        <f t="array" ref="N420">_xlfn.IFS(I420="Dell Inspiron 15",66989,I420="Lenovo IdeaPad Slim 3i",34690,I420="Mi NoteBook Ultra",57999,I420="Samsung Galaxy Go",36990,I420="Acer Aspire 3",38980)</f>
        <v>66989</v>
      </c>
      <c r="O420" s="5" t="s">
        <v>1030</v>
      </c>
    </row>
    <row r="421" spans="1:15" x14ac:dyDescent="0.35">
      <c r="A421" s="4">
        <v>16452</v>
      </c>
      <c r="B421" s="5" t="s">
        <v>77</v>
      </c>
      <c r="C421" s="5" t="s">
        <v>195</v>
      </c>
      <c r="D421" s="5" t="s">
        <v>1032</v>
      </c>
      <c r="E421" s="5" t="s">
        <v>1033</v>
      </c>
      <c r="F421" s="5" t="s">
        <v>1010</v>
      </c>
      <c r="G421" s="3" t="s">
        <v>1015</v>
      </c>
      <c r="H421" s="5" t="s">
        <v>711</v>
      </c>
      <c r="I421" s="5" t="s">
        <v>1025</v>
      </c>
      <c r="J421" s="4">
        <v>5392</v>
      </c>
      <c r="K421" s="1">
        <v>43863</v>
      </c>
      <c r="L421" s="1">
        <v>43865</v>
      </c>
      <c r="M421" s="4">
        <v>1</v>
      </c>
      <c r="N421" s="7" cm="1">
        <f t="array" ref="N421">_xlfn.IFS(I421="Dell Inspiron 15",66989,I421="Lenovo IdeaPad Slim 3i",34690,I421="Mi NoteBook Ultra",57999,I421="Samsung Galaxy Go",36990,I421="Acer Aspire 3",38980)</f>
        <v>57999</v>
      </c>
      <c r="O421" s="5" t="s">
        <v>1030</v>
      </c>
    </row>
    <row r="422" spans="1:15" x14ac:dyDescent="0.35">
      <c r="A422" s="4">
        <v>24192</v>
      </c>
      <c r="B422" s="5" t="s">
        <v>265</v>
      </c>
      <c r="C422" s="5" t="s">
        <v>53</v>
      </c>
      <c r="D422" s="5" t="s">
        <v>1032</v>
      </c>
      <c r="E422" s="5" t="s">
        <v>1034</v>
      </c>
      <c r="F422" s="5" t="s">
        <v>1011</v>
      </c>
      <c r="G422" s="3" t="s">
        <v>1016</v>
      </c>
      <c r="H422" s="5" t="s">
        <v>712</v>
      </c>
      <c r="I422" s="5" t="s">
        <v>1027</v>
      </c>
      <c r="J422" s="4">
        <v>5349</v>
      </c>
      <c r="K422" s="1">
        <v>43863</v>
      </c>
      <c r="L422" s="1">
        <v>43865</v>
      </c>
      <c r="M422" s="4">
        <v>1</v>
      </c>
      <c r="N422" s="7" cm="1">
        <f t="array" ref="N422">_xlfn.IFS(I422="Dell Inspiron 15",66989,I422="Lenovo IdeaPad Slim 3i",34690,I422="Mi NoteBook Ultra",57999,I422="Samsung Galaxy Go",36990,I422="Acer Aspire 3",38980)</f>
        <v>38980</v>
      </c>
      <c r="O422" s="5" t="s">
        <v>1030</v>
      </c>
    </row>
    <row r="423" spans="1:15" x14ac:dyDescent="0.35">
      <c r="A423" s="4">
        <v>16506</v>
      </c>
      <c r="B423" s="5" t="s">
        <v>713</v>
      </c>
      <c r="C423" s="5" t="s">
        <v>694</v>
      </c>
      <c r="D423" s="5" t="s">
        <v>1032</v>
      </c>
      <c r="E423" s="5" t="s">
        <v>1033</v>
      </c>
      <c r="F423" s="5" t="s">
        <v>1010</v>
      </c>
      <c r="G423" s="3" t="s">
        <v>1015</v>
      </c>
      <c r="H423" s="5" t="s">
        <v>714</v>
      </c>
      <c r="I423" s="5" t="s">
        <v>1023</v>
      </c>
      <c r="J423" s="4">
        <v>4553</v>
      </c>
      <c r="K423" s="1">
        <v>43905</v>
      </c>
      <c r="L423" s="1">
        <v>43905</v>
      </c>
      <c r="M423" s="4">
        <v>6</v>
      </c>
      <c r="N423" s="7" cm="1">
        <f t="array" ref="N423">_xlfn.IFS(I423="Dell Inspiron 15",66989,I423="Lenovo IdeaPad Slim 3i",34690,I423="Mi NoteBook Ultra",57999,I423="Samsung Galaxy Go",36990,I423="Acer Aspire 3",38980)</f>
        <v>66989</v>
      </c>
      <c r="O423" s="5" t="s">
        <v>1030</v>
      </c>
    </row>
    <row r="424" spans="1:15" x14ac:dyDescent="0.35">
      <c r="A424" s="4">
        <v>14868</v>
      </c>
      <c r="B424" s="5" t="s">
        <v>671</v>
      </c>
      <c r="C424" s="5" t="s">
        <v>182</v>
      </c>
      <c r="D424" s="5" t="s">
        <v>1032</v>
      </c>
      <c r="E424" s="5" t="s">
        <v>1035</v>
      </c>
      <c r="F424" s="5" t="s">
        <v>1012</v>
      </c>
      <c r="G424" s="3" t="s">
        <v>1017</v>
      </c>
      <c r="H424" s="5" t="s">
        <v>715</v>
      </c>
      <c r="I424" s="5" t="s">
        <v>1024</v>
      </c>
      <c r="J424" s="4">
        <v>5400</v>
      </c>
      <c r="K424" s="1">
        <v>43863</v>
      </c>
      <c r="L424" s="1">
        <v>43864</v>
      </c>
      <c r="M424" s="4">
        <v>10</v>
      </c>
      <c r="N424" s="7" cm="1">
        <f t="array" ref="N424">_xlfn.IFS(I424="Dell Inspiron 15",66989,I424="Lenovo IdeaPad Slim 3i",34690,I424="Mi NoteBook Ultra",57999,I424="Samsung Galaxy Go",36990,I424="Acer Aspire 3",38980)</f>
        <v>34690</v>
      </c>
      <c r="O424" s="5" t="s">
        <v>1030</v>
      </c>
    </row>
    <row r="425" spans="1:15" x14ac:dyDescent="0.35">
      <c r="A425" s="4">
        <v>20874</v>
      </c>
      <c r="B425" s="5" t="s">
        <v>340</v>
      </c>
      <c r="C425" s="5" t="s">
        <v>176</v>
      </c>
      <c r="D425" s="5" t="s">
        <v>1032</v>
      </c>
      <c r="E425" s="5" t="s">
        <v>1035</v>
      </c>
      <c r="F425" s="5" t="s">
        <v>1012</v>
      </c>
      <c r="G425" s="3" t="s">
        <v>1017</v>
      </c>
      <c r="H425" s="5" t="s">
        <v>716</v>
      </c>
      <c r="I425" s="5" t="s">
        <v>1023</v>
      </c>
      <c r="J425" s="4">
        <v>5212</v>
      </c>
      <c r="K425" s="1">
        <v>43920</v>
      </c>
      <c r="L425" s="1">
        <v>43923</v>
      </c>
      <c r="M425" s="4">
        <v>9</v>
      </c>
      <c r="N425" s="7" cm="1">
        <f t="array" ref="N425">_xlfn.IFS(I425="Dell Inspiron 15",66989,I425="Lenovo IdeaPad Slim 3i",34690,I425="Mi NoteBook Ultra",57999,I425="Samsung Galaxy Go",36990,I425="Acer Aspire 3",38980)</f>
        <v>66989</v>
      </c>
      <c r="O425" s="5" t="s">
        <v>1030</v>
      </c>
    </row>
    <row r="426" spans="1:15" x14ac:dyDescent="0.35">
      <c r="A426" s="4">
        <v>24615</v>
      </c>
      <c r="B426" s="5" t="s">
        <v>583</v>
      </c>
      <c r="C426" s="5" t="s">
        <v>343</v>
      </c>
      <c r="D426" s="5" t="s">
        <v>1032</v>
      </c>
      <c r="E426" s="5" t="s">
        <v>1036</v>
      </c>
      <c r="F426" s="5" t="s">
        <v>1013</v>
      </c>
      <c r="G426" s="3" t="s">
        <v>1018</v>
      </c>
      <c r="H426" s="5" t="s">
        <v>717</v>
      </c>
      <c r="I426" s="5" t="s">
        <v>1027</v>
      </c>
      <c r="J426" s="4">
        <v>5182</v>
      </c>
      <c r="K426" s="1">
        <v>43985</v>
      </c>
      <c r="L426" s="1">
        <v>43990</v>
      </c>
      <c r="M426" s="4">
        <v>9</v>
      </c>
      <c r="N426" s="7" cm="1">
        <f t="array" ref="N426">_xlfn.IFS(I426="Dell Inspiron 15",66989,I426="Lenovo IdeaPad Slim 3i",34690,I426="Mi NoteBook Ultra",57999,I426="Samsung Galaxy Go",36990,I426="Acer Aspire 3",38980)</f>
        <v>38980</v>
      </c>
      <c r="O426" s="5" t="s">
        <v>1030</v>
      </c>
    </row>
    <row r="427" spans="1:15" x14ac:dyDescent="0.35">
      <c r="A427" s="4">
        <v>20115</v>
      </c>
      <c r="B427" s="5" t="s">
        <v>305</v>
      </c>
      <c r="C427" s="5" t="s">
        <v>578</v>
      </c>
      <c r="D427" s="5" t="s">
        <v>1032</v>
      </c>
      <c r="E427" s="5" t="s">
        <v>1033</v>
      </c>
      <c r="F427" s="5" t="s">
        <v>1010</v>
      </c>
      <c r="G427" s="3" t="s">
        <v>1015</v>
      </c>
      <c r="H427" s="5" t="s">
        <v>718</v>
      </c>
      <c r="I427" s="5" t="s">
        <v>1025</v>
      </c>
      <c r="J427" s="4">
        <v>5428</v>
      </c>
      <c r="K427" s="1">
        <v>43912</v>
      </c>
      <c r="L427" s="1">
        <v>43913</v>
      </c>
      <c r="M427" s="4">
        <v>5</v>
      </c>
      <c r="N427" s="7" cm="1">
        <f t="array" ref="N427">_xlfn.IFS(I427="Dell Inspiron 15",66989,I427="Lenovo IdeaPad Slim 3i",34690,I427="Mi NoteBook Ultra",57999,I427="Samsung Galaxy Go",36990,I427="Acer Aspire 3",38980)</f>
        <v>57999</v>
      </c>
      <c r="O427" s="5" t="s">
        <v>1030</v>
      </c>
    </row>
    <row r="428" spans="1:15" x14ac:dyDescent="0.35">
      <c r="A428" s="4">
        <v>15316</v>
      </c>
      <c r="B428" s="5" t="s">
        <v>390</v>
      </c>
      <c r="C428" s="5" t="s">
        <v>396</v>
      </c>
      <c r="D428" s="5" t="s">
        <v>1032</v>
      </c>
      <c r="E428" s="5" t="s">
        <v>1034</v>
      </c>
      <c r="F428" s="5" t="s">
        <v>1011</v>
      </c>
      <c r="G428" s="3" t="s">
        <v>1016</v>
      </c>
      <c r="H428" s="5" t="s">
        <v>719</v>
      </c>
      <c r="I428" s="5" t="s">
        <v>1026</v>
      </c>
      <c r="J428" s="4">
        <v>5131</v>
      </c>
      <c r="K428" s="1">
        <v>43912</v>
      </c>
      <c r="L428" s="1">
        <v>43915</v>
      </c>
      <c r="M428" s="4">
        <v>3</v>
      </c>
      <c r="N428" s="7" cm="1">
        <f t="array" ref="N428">_xlfn.IFS(I428="Dell Inspiron 15",66989,I428="Lenovo IdeaPad Slim 3i",34690,I428="Mi NoteBook Ultra",57999,I428="Samsung Galaxy Go",36990,I428="Acer Aspire 3",38980)</f>
        <v>36990</v>
      </c>
      <c r="O428" s="5" t="s">
        <v>1030</v>
      </c>
    </row>
    <row r="429" spans="1:15" x14ac:dyDescent="0.35">
      <c r="A429" s="4">
        <v>12594</v>
      </c>
      <c r="B429" s="5" t="s">
        <v>321</v>
      </c>
      <c r="C429" s="5" t="s">
        <v>462</v>
      </c>
      <c r="D429" s="5" t="s">
        <v>1032</v>
      </c>
      <c r="E429" s="5" t="s">
        <v>1033</v>
      </c>
      <c r="F429" s="5" t="s">
        <v>1010</v>
      </c>
      <c r="G429" s="3" t="s">
        <v>1015</v>
      </c>
      <c r="H429" s="5" t="s">
        <v>720</v>
      </c>
      <c r="I429" s="5" t="s">
        <v>1027</v>
      </c>
      <c r="J429" s="4">
        <v>5491</v>
      </c>
      <c r="K429" s="1">
        <v>43968</v>
      </c>
      <c r="L429" s="1">
        <v>43969</v>
      </c>
      <c r="M429" s="4">
        <v>4</v>
      </c>
      <c r="N429" s="7" cm="1">
        <f t="array" ref="N429">_xlfn.IFS(I429="Dell Inspiron 15",66989,I429="Lenovo IdeaPad Slim 3i",34690,I429="Mi NoteBook Ultra",57999,I429="Samsung Galaxy Go",36990,I429="Acer Aspire 3",38980)</f>
        <v>38980</v>
      </c>
      <c r="O429" s="5" t="s">
        <v>1030</v>
      </c>
    </row>
    <row r="430" spans="1:15" x14ac:dyDescent="0.35">
      <c r="A430" s="4">
        <v>22191</v>
      </c>
      <c r="B430" s="5" t="s">
        <v>411</v>
      </c>
      <c r="C430" s="5" t="s">
        <v>578</v>
      </c>
      <c r="D430" s="5" t="s">
        <v>1032</v>
      </c>
      <c r="E430" s="5" t="s">
        <v>1035</v>
      </c>
      <c r="F430" s="5" t="s">
        <v>1012</v>
      </c>
      <c r="G430" s="3" t="s">
        <v>1017</v>
      </c>
      <c r="H430" s="5" t="s">
        <v>721</v>
      </c>
      <c r="I430" s="5" t="s">
        <v>1023</v>
      </c>
      <c r="J430" s="4">
        <v>4894</v>
      </c>
      <c r="K430" s="1">
        <v>43879</v>
      </c>
      <c r="L430" s="1">
        <v>43881</v>
      </c>
      <c r="M430" s="4">
        <v>5</v>
      </c>
      <c r="N430" s="7" cm="1">
        <f t="array" ref="N430">_xlfn.IFS(I430="Dell Inspiron 15",66989,I430="Lenovo IdeaPad Slim 3i",34690,I430="Mi NoteBook Ultra",57999,I430="Samsung Galaxy Go",36990,I430="Acer Aspire 3",38980)</f>
        <v>66989</v>
      </c>
      <c r="O430" s="5" t="s">
        <v>1030</v>
      </c>
    </row>
    <row r="431" spans="1:15" x14ac:dyDescent="0.35">
      <c r="A431" s="4">
        <v>18783</v>
      </c>
      <c r="B431" s="5" t="s">
        <v>293</v>
      </c>
      <c r="C431" s="5" t="s">
        <v>509</v>
      </c>
      <c r="D431" s="5" t="s">
        <v>1032</v>
      </c>
      <c r="E431" s="5" t="s">
        <v>1035</v>
      </c>
      <c r="F431" s="5" t="s">
        <v>1012</v>
      </c>
      <c r="G431" s="3" t="s">
        <v>1017</v>
      </c>
      <c r="H431" s="5" t="s">
        <v>722</v>
      </c>
      <c r="I431" s="5" t="s">
        <v>1025</v>
      </c>
      <c r="J431" s="4">
        <v>4757</v>
      </c>
      <c r="K431" s="1">
        <v>43894</v>
      </c>
      <c r="L431" s="1">
        <v>43896</v>
      </c>
      <c r="M431" s="4">
        <v>2</v>
      </c>
      <c r="N431" s="7" cm="1">
        <f t="array" ref="N431">_xlfn.IFS(I431="Dell Inspiron 15",66989,I431="Lenovo IdeaPad Slim 3i",34690,I431="Mi NoteBook Ultra",57999,I431="Samsung Galaxy Go",36990,I431="Acer Aspire 3",38980)</f>
        <v>57999</v>
      </c>
      <c r="O431" s="5" t="s">
        <v>1030</v>
      </c>
    </row>
    <row r="432" spans="1:15" x14ac:dyDescent="0.35">
      <c r="A432" s="4">
        <v>15771</v>
      </c>
      <c r="B432" s="5" t="s">
        <v>723</v>
      </c>
      <c r="C432" s="5" t="s">
        <v>48</v>
      </c>
      <c r="D432" s="5" t="s">
        <v>1032</v>
      </c>
      <c r="E432" s="5" t="s">
        <v>1035</v>
      </c>
      <c r="F432" s="5" t="s">
        <v>1012</v>
      </c>
      <c r="G432" s="3" t="s">
        <v>1017</v>
      </c>
      <c r="H432" s="5" t="s">
        <v>724</v>
      </c>
      <c r="I432" s="5" t="s">
        <v>1027</v>
      </c>
      <c r="J432" s="4">
        <v>5346</v>
      </c>
      <c r="K432" s="1">
        <v>43968</v>
      </c>
      <c r="L432" s="1">
        <v>43970</v>
      </c>
      <c r="M432" s="4">
        <v>1</v>
      </c>
      <c r="N432" s="7" cm="1">
        <f t="array" ref="N432">_xlfn.IFS(I432="Dell Inspiron 15",66989,I432="Lenovo IdeaPad Slim 3i",34690,I432="Mi NoteBook Ultra",57999,I432="Samsung Galaxy Go",36990,I432="Acer Aspire 3",38980)</f>
        <v>38980</v>
      </c>
      <c r="O432" s="5" t="s">
        <v>1030</v>
      </c>
    </row>
    <row r="433" spans="1:15" x14ac:dyDescent="0.35">
      <c r="A433" s="4">
        <v>18694</v>
      </c>
      <c r="B433" s="5" t="s">
        <v>583</v>
      </c>
      <c r="C433" s="5" t="s">
        <v>142</v>
      </c>
      <c r="D433" s="5" t="s">
        <v>1032</v>
      </c>
      <c r="E433" s="5" t="s">
        <v>1036</v>
      </c>
      <c r="F433" s="5" t="s">
        <v>1013</v>
      </c>
      <c r="G433" s="3" t="s">
        <v>1018</v>
      </c>
      <c r="H433" s="5" t="s">
        <v>725</v>
      </c>
      <c r="I433" s="5" t="s">
        <v>1023</v>
      </c>
      <c r="J433" s="4">
        <v>5252</v>
      </c>
      <c r="K433" s="1">
        <v>43968</v>
      </c>
      <c r="L433" s="1">
        <v>43969</v>
      </c>
      <c r="M433" s="4">
        <v>9</v>
      </c>
      <c r="N433" s="7" cm="1">
        <f t="array" ref="N433">_xlfn.IFS(I433="Dell Inspiron 15",66989,I433="Lenovo IdeaPad Slim 3i",34690,I433="Mi NoteBook Ultra",57999,I433="Samsung Galaxy Go",36990,I433="Acer Aspire 3",38980)</f>
        <v>66989</v>
      </c>
      <c r="O433" s="5" t="s">
        <v>1030</v>
      </c>
    </row>
    <row r="434" spans="1:15" x14ac:dyDescent="0.35">
      <c r="A434" s="4">
        <v>23346</v>
      </c>
      <c r="B434" s="5" t="s">
        <v>123</v>
      </c>
      <c r="C434" s="5" t="s">
        <v>609</v>
      </c>
      <c r="D434" s="5" t="s">
        <v>1032</v>
      </c>
      <c r="E434" s="5" t="s">
        <v>1035</v>
      </c>
      <c r="F434" s="5" t="s">
        <v>1012</v>
      </c>
      <c r="G434" s="3" t="s">
        <v>1017</v>
      </c>
      <c r="H434" s="5" t="s">
        <v>726</v>
      </c>
      <c r="I434" s="5" t="s">
        <v>1024</v>
      </c>
      <c r="J434" s="4">
        <v>4610</v>
      </c>
      <c r="K434" s="1">
        <v>43989</v>
      </c>
      <c r="L434" s="1">
        <v>43991</v>
      </c>
      <c r="M434" s="4">
        <v>6</v>
      </c>
      <c r="N434" s="7" cm="1">
        <f t="array" ref="N434">_xlfn.IFS(I434="Dell Inspiron 15",66989,I434="Lenovo IdeaPad Slim 3i",34690,I434="Mi NoteBook Ultra",57999,I434="Samsung Galaxy Go",36990,I434="Acer Aspire 3",38980)</f>
        <v>34690</v>
      </c>
      <c r="O434" s="5" t="s">
        <v>1030</v>
      </c>
    </row>
    <row r="435" spans="1:15" x14ac:dyDescent="0.35">
      <c r="A435" s="4">
        <v>24570</v>
      </c>
      <c r="B435" s="5" t="s">
        <v>146</v>
      </c>
      <c r="C435" s="5" t="s">
        <v>142</v>
      </c>
      <c r="D435" s="5" t="s">
        <v>1032</v>
      </c>
      <c r="E435" s="5" t="s">
        <v>1035</v>
      </c>
      <c r="F435" s="5" t="s">
        <v>1012</v>
      </c>
      <c r="G435" s="3" t="s">
        <v>1017</v>
      </c>
      <c r="H435" s="5" t="s">
        <v>727</v>
      </c>
      <c r="I435" s="5" t="s">
        <v>1023</v>
      </c>
      <c r="J435" s="4">
        <v>5291</v>
      </c>
      <c r="K435" s="1">
        <v>43954</v>
      </c>
      <c r="L435" s="1">
        <v>43956</v>
      </c>
      <c r="M435" s="4">
        <v>5</v>
      </c>
      <c r="N435" s="7" cm="1">
        <f t="array" ref="N435">_xlfn.IFS(I435="Dell Inspiron 15",66989,I435="Lenovo IdeaPad Slim 3i",34690,I435="Mi NoteBook Ultra",57999,I435="Samsung Galaxy Go",36990,I435="Acer Aspire 3",38980)</f>
        <v>66989</v>
      </c>
      <c r="O435" s="5" t="s">
        <v>1030</v>
      </c>
    </row>
    <row r="436" spans="1:15" x14ac:dyDescent="0.35">
      <c r="A436" s="4">
        <v>17715</v>
      </c>
      <c r="B436" s="5" t="s">
        <v>283</v>
      </c>
      <c r="C436" s="5" t="s">
        <v>129</v>
      </c>
      <c r="D436" s="5" t="s">
        <v>1032</v>
      </c>
      <c r="E436" s="5" t="s">
        <v>1036</v>
      </c>
      <c r="F436" s="5" t="s">
        <v>1013</v>
      </c>
      <c r="G436" s="3" t="s">
        <v>1018</v>
      </c>
      <c r="H436" s="5" t="s">
        <v>728</v>
      </c>
      <c r="I436" s="5" t="s">
        <v>1024</v>
      </c>
      <c r="J436" s="4">
        <v>5002</v>
      </c>
      <c r="K436" s="1">
        <v>43954</v>
      </c>
      <c r="L436" s="1">
        <v>43956</v>
      </c>
      <c r="M436" s="4">
        <v>8</v>
      </c>
      <c r="N436" s="7" cm="1">
        <f t="array" ref="N436">_xlfn.IFS(I436="Dell Inspiron 15",66989,I436="Lenovo IdeaPad Slim 3i",34690,I436="Mi NoteBook Ultra",57999,I436="Samsung Galaxy Go",36990,I436="Acer Aspire 3",38980)</f>
        <v>34690</v>
      </c>
      <c r="O436" s="5" t="s">
        <v>1030</v>
      </c>
    </row>
    <row r="437" spans="1:15" x14ac:dyDescent="0.35">
      <c r="A437" s="4">
        <v>21122</v>
      </c>
      <c r="B437" s="5" t="s">
        <v>552</v>
      </c>
      <c r="C437" s="5" t="s">
        <v>137</v>
      </c>
      <c r="D437" s="5" t="s">
        <v>1032</v>
      </c>
      <c r="E437" s="5" t="s">
        <v>1036</v>
      </c>
      <c r="F437" s="5" t="s">
        <v>1013</v>
      </c>
      <c r="G437" s="3" t="s">
        <v>1018</v>
      </c>
      <c r="H437" s="5" t="s">
        <v>729</v>
      </c>
      <c r="I437" s="5" t="s">
        <v>1025</v>
      </c>
      <c r="J437" s="4">
        <v>5180</v>
      </c>
      <c r="K437" s="1">
        <v>43954</v>
      </c>
      <c r="L437" s="1">
        <v>43956</v>
      </c>
      <c r="M437" s="4">
        <v>5</v>
      </c>
      <c r="N437" s="7" cm="1">
        <f t="array" ref="N437">_xlfn.IFS(I437="Dell Inspiron 15",66989,I437="Lenovo IdeaPad Slim 3i",34690,I437="Mi NoteBook Ultra",57999,I437="Samsung Galaxy Go",36990,I437="Acer Aspire 3",38980)</f>
        <v>57999</v>
      </c>
      <c r="O437" s="5" t="s">
        <v>1030</v>
      </c>
    </row>
    <row r="438" spans="1:15" x14ac:dyDescent="0.35">
      <c r="A438" s="4">
        <v>12745</v>
      </c>
      <c r="B438" s="5" t="s">
        <v>93</v>
      </c>
      <c r="C438" s="5" t="s">
        <v>119</v>
      </c>
      <c r="D438" s="5" t="s">
        <v>1032</v>
      </c>
      <c r="E438" s="5" t="s">
        <v>1033</v>
      </c>
      <c r="F438" s="5" t="s">
        <v>1010</v>
      </c>
      <c r="G438" s="3" t="s">
        <v>1015</v>
      </c>
      <c r="H438" s="5" t="s">
        <v>730</v>
      </c>
      <c r="I438" s="5" t="s">
        <v>1026</v>
      </c>
      <c r="J438" s="4">
        <v>4799</v>
      </c>
      <c r="K438" s="1">
        <v>43954</v>
      </c>
      <c r="L438" s="1">
        <v>43955</v>
      </c>
      <c r="M438" s="4">
        <v>1</v>
      </c>
      <c r="N438" s="7" cm="1">
        <f t="array" ref="N438">_xlfn.IFS(I438="Dell Inspiron 15",66989,I438="Lenovo IdeaPad Slim 3i",34690,I438="Mi NoteBook Ultra",57999,I438="Samsung Galaxy Go",36990,I438="Acer Aspire 3",38980)</f>
        <v>36990</v>
      </c>
      <c r="O438" s="5" t="s">
        <v>1030</v>
      </c>
    </row>
    <row r="439" spans="1:15" x14ac:dyDescent="0.35">
      <c r="A439" s="4">
        <v>19593</v>
      </c>
      <c r="B439" s="5" t="s">
        <v>731</v>
      </c>
      <c r="C439" s="5" t="s">
        <v>58</v>
      </c>
      <c r="D439" s="5" t="s">
        <v>1032</v>
      </c>
      <c r="E439" s="5" t="s">
        <v>1034</v>
      </c>
      <c r="F439" s="5" t="s">
        <v>1011</v>
      </c>
      <c r="G439" s="3" t="s">
        <v>1016</v>
      </c>
      <c r="H439" s="5" t="s">
        <v>732</v>
      </c>
      <c r="I439" s="5" t="s">
        <v>1027</v>
      </c>
      <c r="J439" s="4">
        <v>5071</v>
      </c>
      <c r="K439" s="1">
        <v>44004</v>
      </c>
      <c r="L439" s="1">
        <v>44006</v>
      </c>
      <c r="M439" s="4">
        <v>4</v>
      </c>
      <c r="N439" s="7" cm="1">
        <f t="array" ref="N439">_xlfn.IFS(I439="Dell Inspiron 15",66989,I439="Lenovo IdeaPad Slim 3i",34690,I439="Mi NoteBook Ultra",57999,I439="Samsung Galaxy Go",36990,I439="Acer Aspire 3",38980)</f>
        <v>38980</v>
      </c>
      <c r="O439" s="5" t="s">
        <v>1030</v>
      </c>
    </row>
    <row r="440" spans="1:15" x14ac:dyDescent="0.35">
      <c r="A440" s="4">
        <v>15938</v>
      </c>
      <c r="B440" s="5" t="s">
        <v>405</v>
      </c>
      <c r="C440" s="5" t="s">
        <v>129</v>
      </c>
      <c r="D440" s="5" t="s">
        <v>1032</v>
      </c>
      <c r="E440" s="5" t="s">
        <v>1033</v>
      </c>
      <c r="F440" s="5" t="s">
        <v>1010</v>
      </c>
      <c r="G440" s="3" t="s">
        <v>1015</v>
      </c>
      <c r="H440" s="5" t="s">
        <v>733</v>
      </c>
      <c r="I440" s="5" t="s">
        <v>1023</v>
      </c>
      <c r="J440" s="4">
        <v>4813</v>
      </c>
      <c r="K440" s="1">
        <v>43927</v>
      </c>
      <c r="L440" s="1">
        <v>43928</v>
      </c>
      <c r="M440" s="4">
        <v>1</v>
      </c>
      <c r="N440" s="7" cm="1">
        <f t="array" ref="N440">_xlfn.IFS(I440="Dell Inspiron 15",66989,I440="Lenovo IdeaPad Slim 3i",34690,I440="Mi NoteBook Ultra",57999,I440="Samsung Galaxy Go",36990,I440="Acer Aspire 3",38980)</f>
        <v>66989</v>
      </c>
      <c r="O440" s="5" t="s">
        <v>1030</v>
      </c>
    </row>
    <row r="441" spans="1:15" x14ac:dyDescent="0.35">
      <c r="A441" s="4">
        <v>17289</v>
      </c>
      <c r="B441" s="5" t="s">
        <v>218</v>
      </c>
      <c r="C441" s="5" t="s">
        <v>291</v>
      </c>
      <c r="D441" s="5" t="s">
        <v>1032</v>
      </c>
      <c r="E441" s="5" t="s">
        <v>1035</v>
      </c>
      <c r="F441" s="5" t="s">
        <v>1012</v>
      </c>
      <c r="G441" s="3" t="s">
        <v>1017</v>
      </c>
      <c r="H441" s="5" t="s">
        <v>734</v>
      </c>
      <c r="I441" s="5" t="s">
        <v>1025</v>
      </c>
      <c r="J441" s="4">
        <v>5211</v>
      </c>
      <c r="K441" s="1">
        <v>44004</v>
      </c>
      <c r="L441" s="1">
        <v>44006</v>
      </c>
      <c r="M441" s="4">
        <v>5</v>
      </c>
      <c r="N441" s="7" cm="1">
        <f t="array" ref="N441">_xlfn.IFS(I441="Dell Inspiron 15",66989,I441="Lenovo IdeaPad Slim 3i",34690,I441="Mi NoteBook Ultra",57999,I441="Samsung Galaxy Go",36990,I441="Acer Aspire 3",38980)</f>
        <v>57999</v>
      </c>
      <c r="O441" s="5" t="s">
        <v>1030</v>
      </c>
    </row>
    <row r="442" spans="1:15" x14ac:dyDescent="0.35">
      <c r="A442" s="4">
        <v>24546</v>
      </c>
      <c r="B442" s="5" t="s">
        <v>265</v>
      </c>
      <c r="C442" s="5" t="s">
        <v>297</v>
      </c>
      <c r="D442" s="5" t="s">
        <v>1032</v>
      </c>
      <c r="E442" s="5" t="s">
        <v>1035</v>
      </c>
      <c r="F442" s="5" t="s">
        <v>1012</v>
      </c>
      <c r="G442" s="3" t="s">
        <v>1017</v>
      </c>
      <c r="H442" s="5" t="s">
        <v>735</v>
      </c>
      <c r="I442" s="5" t="s">
        <v>1027</v>
      </c>
      <c r="J442" s="4">
        <v>4851</v>
      </c>
      <c r="K442" s="1">
        <v>44004</v>
      </c>
      <c r="L442" s="1">
        <v>44005</v>
      </c>
      <c r="M442" s="4">
        <v>10</v>
      </c>
      <c r="N442" s="7" cm="1">
        <f t="array" ref="N442">_xlfn.IFS(I442="Dell Inspiron 15",66989,I442="Lenovo IdeaPad Slim 3i",34690,I442="Mi NoteBook Ultra",57999,I442="Samsung Galaxy Go",36990,I442="Acer Aspire 3",38980)</f>
        <v>38980</v>
      </c>
      <c r="O442" s="5" t="s">
        <v>1030</v>
      </c>
    </row>
    <row r="443" spans="1:15" x14ac:dyDescent="0.35">
      <c r="A443" s="4">
        <v>14391</v>
      </c>
      <c r="B443" s="5" t="s">
        <v>593</v>
      </c>
      <c r="C443" s="5" t="s">
        <v>91</v>
      </c>
      <c r="D443" s="5" t="s">
        <v>1032</v>
      </c>
      <c r="E443" s="5" t="s">
        <v>1036</v>
      </c>
      <c r="F443" s="5" t="s">
        <v>1013</v>
      </c>
      <c r="G443" s="3" t="s">
        <v>1018</v>
      </c>
      <c r="H443" s="5" t="s">
        <v>736</v>
      </c>
      <c r="I443" s="5" t="s">
        <v>1023</v>
      </c>
      <c r="J443" s="4">
        <v>4967</v>
      </c>
      <c r="K443" s="1">
        <v>43927</v>
      </c>
      <c r="L443" s="1">
        <v>43928</v>
      </c>
      <c r="M443" s="4">
        <v>4</v>
      </c>
      <c r="N443" s="7" cm="1">
        <f t="array" ref="N443">_xlfn.IFS(I443="Dell Inspiron 15",66989,I443="Lenovo IdeaPad Slim 3i",34690,I443="Mi NoteBook Ultra",57999,I443="Samsung Galaxy Go",36990,I443="Acer Aspire 3",38980)</f>
        <v>66989</v>
      </c>
      <c r="O443" s="5" t="s">
        <v>1030</v>
      </c>
    </row>
    <row r="444" spans="1:15" x14ac:dyDescent="0.35">
      <c r="A444" s="4">
        <v>23607</v>
      </c>
      <c r="B444" s="5" t="s">
        <v>713</v>
      </c>
      <c r="C444" s="5" t="s">
        <v>102</v>
      </c>
      <c r="D444" s="5" t="s">
        <v>1032</v>
      </c>
      <c r="E444" s="5" t="s">
        <v>1033</v>
      </c>
      <c r="F444" s="5" t="s">
        <v>1010</v>
      </c>
      <c r="G444" s="3" t="s">
        <v>1015</v>
      </c>
      <c r="H444" s="5" t="s">
        <v>737</v>
      </c>
      <c r="I444" s="5" t="s">
        <v>1024</v>
      </c>
      <c r="J444" s="4">
        <v>4602</v>
      </c>
      <c r="K444" s="1">
        <v>44004</v>
      </c>
      <c r="L444" s="1">
        <v>44005</v>
      </c>
      <c r="M444" s="4">
        <v>8</v>
      </c>
      <c r="N444" s="7" cm="1">
        <f t="array" ref="N444">_xlfn.IFS(I444="Dell Inspiron 15",66989,I444="Lenovo IdeaPad Slim 3i",34690,I444="Mi NoteBook Ultra",57999,I444="Samsung Galaxy Go",36990,I444="Acer Aspire 3",38980)</f>
        <v>34690</v>
      </c>
      <c r="O444" s="5" t="s">
        <v>1030</v>
      </c>
    </row>
    <row r="445" spans="1:15" x14ac:dyDescent="0.35">
      <c r="A445" s="4">
        <v>14489</v>
      </c>
      <c r="B445" s="5" t="s">
        <v>62</v>
      </c>
      <c r="C445" s="5" t="s">
        <v>426</v>
      </c>
      <c r="D445" s="5" t="s">
        <v>1032</v>
      </c>
      <c r="E445" s="5" t="s">
        <v>1035</v>
      </c>
      <c r="F445" s="5" t="s">
        <v>1012</v>
      </c>
      <c r="G445" s="3" t="s">
        <v>1017</v>
      </c>
      <c r="H445" s="5" t="s">
        <v>738</v>
      </c>
      <c r="I445" s="5" t="s">
        <v>1026</v>
      </c>
      <c r="J445" s="4">
        <v>4947</v>
      </c>
      <c r="K445" s="1">
        <v>43833</v>
      </c>
      <c r="L445" s="1">
        <v>43834</v>
      </c>
      <c r="M445" s="4">
        <v>6</v>
      </c>
      <c r="N445" s="7" cm="1">
        <f t="array" ref="N445">_xlfn.IFS(I445="Dell Inspiron 15",66989,I445="Lenovo IdeaPad Slim 3i",34690,I445="Mi NoteBook Ultra",57999,I445="Samsung Galaxy Go",36990,I445="Acer Aspire 3",38980)</f>
        <v>36990</v>
      </c>
      <c r="O445" s="5" t="s">
        <v>1030</v>
      </c>
    </row>
    <row r="446" spans="1:15" x14ac:dyDescent="0.35">
      <c r="A446" s="4">
        <v>25070</v>
      </c>
      <c r="B446" s="5" t="s">
        <v>739</v>
      </c>
      <c r="C446" s="5" t="s">
        <v>137</v>
      </c>
      <c r="D446" s="5" t="s">
        <v>1032</v>
      </c>
      <c r="E446" s="5" t="s">
        <v>1036</v>
      </c>
      <c r="F446" s="5" t="s">
        <v>1013</v>
      </c>
      <c r="G446" s="3" t="s">
        <v>1018</v>
      </c>
      <c r="H446" s="5" t="s">
        <v>740</v>
      </c>
      <c r="I446" s="5" t="s">
        <v>1023</v>
      </c>
      <c r="J446" s="4">
        <v>4652</v>
      </c>
      <c r="K446" s="1">
        <v>43925</v>
      </c>
      <c r="L446" s="1">
        <v>43927</v>
      </c>
      <c r="M446" s="4">
        <v>2</v>
      </c>
      <c r="N446" s="7" cm="1">
        <f t="array" ref="N446">_xlfn.IFS(I446="Dell Inspiron 15",66989,I446="Lenovo IdeaPad Slim 3i",34690,I446="Mi NoteBook Ultra",57999,I446="Samsung Galaxy Go",36990,I446="Acer Aspire 3",38980)</f>
        <v>66989</v>
      </c>
      <c r="O446" s="5" t="s">
        <v>1030</v>
      </c>
    </row>
    <row r="447" spans="1:15" x14ac:dyDescent="0.35">
      <c r="A447" s="4">
        <v>20846</v>
      </c>
      <c r="B447" s="5" t="s">
        <v>283</v>
      </c>
      <c r="C447" s="5" t="s">
        <v>578</v>
      </c>
      <c r="D447" s="5" t="s">
        <v>1032</v>
      </c>
      <c r="E447" s="5" t="s">
        <v>1033</v>
      </c>
      <c r="F447" s="5" t="s">
        <v>1010</v>
      </c>
      <c r="G447" s="3" t="s">
        <v>1015</v>
      </c>
      <c r="H447" s="5" t="s">
        <v>741</v>
      </c>
      <c r="I447" s="5" t="s">
        <v>1027</v>
      </c>
      <c r="J447" s="4">
        <v>5493</v>
      </c>
      <c r="K447" s="1">
        <v>43925</v>
      </c>
      <c r="L447" s="1">
        <v>43927</v>
      </c>
      <c r="M447" s="4">
        <v>1</v>
      </c>
      <c r="N447" s="7" cm="1">
        <f t="array" ref="N447">_xlfn.IFS(I447="Dell Inspiron 15",66989,I447="Lenovo IdeaPad Slim 3i",34690,I447="Mi NoteBook Ultra",57999,I447="Samsung Galaxy Go",36990,I447="Acer Aspire 3",38980)</f>
        <v>38980</v>
      </c>
      <c r="O447" s="5" t="s">
        <v>1030</v>
      </c>
    </row>
    <row r="448" spans="1:15" x14ac:dyDescent="0.35">
      <c r="A448" s="4">
        <v>15241</v>
      </c>
      <c r="B448" s="5" t="s">
        <v>390</v>
      </c>
      <c r="C448" s="5" t="s">
        <v>262</v>
      </c>
      <c r="D448" s="5" t="s">
        <v>1032</v>
      </c>
      <c r="E448" s="5" t="s">
        <v>1036</v>
      </c>
      <c r="F448" s="5" t="s">
        <v>1013</v>
      </c>
      <c r="G448" s="3" t="s">
        <v>1018</v>
      </c>
      <c r="H448" s="5" t="s">
        <v>742</v>
      </c>
      <c r="I448" s="5" t="s">
        <v>1025</v>
      </c>
      <c r="J448" s="4">
        <v>4614</v>
      </c>
      <c r="K448" s="1">
        <v>43930</v>
      </c>
      <c r="L448" s="1">
        <v>43932</v>
      </c>
      <c r="M448" s="4">
        <v>4</v>
      </c>
      <c r="N448" s="7" cm="1">
        <f t="array" ref="N448">_xlfn.IFS(I448="Dell Inspiron 15",66989,I448="Lenovo IdeaPad Slim 3i",34690,I448="Mi NoteBook Ultra",57999,I448="Samsung Galaxy Go",36990,I448="Acer Aspire 3",38980)</f>
        <v>57999</v>
      </c>
      <c r="O448" s="5" t="s">
        <v>1030</v>
      </c>
    </row>
    <row r="449" spans="1:15" x14ac:dyDescent="0.35">
      <c r="A449" s="4">
        <v>21808</v>
      </c>
      <c r="B449" s="5" t="s">
        <v>316</v>
      </c>
      <c r="C449" s="5" t="s">
        <v>166</v>
      </c>
      <c r="D449" s="5" t="s">
        <v>1032</v>
      </c>
      <c r="E449" s="5" t="s">
        <v>1033</v>
      </c>
      <c r="F449" s="5" t="s">
        <v>1010</v>
      </c>
      <c r="G449" s="3" t="s">
        <v>1015</v>
      </c>
      <c r="H449" s="5" t="s">
        <v>743</v>
      </c>
      <c r="I449" s="5" t="s">
        <v>1026</v>
      </c>
      <c r="J449" s="4">
        <v>5101</v>
      </c>
      <c r="K449" s="1">
        <v>43833</v>
      </c>
      <c r="L449" s="1">
        <v>43834</v>
      </c>
      <c r="M449" s="4">
        <v>10</v>
      </c>
      <c r="N449" s="7" cm="1">
        <f t="array" ref="N449">_xlfn.IFS(I449="Dell Inspiron 15",66989,I449="Lenovo IdeaPad Slim 3i",34690,I449="Mi NoteBook Ultra",57999,I449="Samsung Galaxy Go",36990,I449="Acer Aspire 3",38980)</f>
        <v>36990</v>
      </c>
      <c r="O449" s="5" t="s">
        <v>1030</v>
      </c>
    </row>
    <row r="450" spans="1:15" x14ac:dyDescent="0.35">
      <c r="A450" s="4">
        <v>20033</v>
      </c>
      <c r="B450" s="5" t="s">
        <v>50</v>
      </c>
      <c r="C450" s="5" t="s">
        <v>33</v>
      </c>
      <c r="D450" s="5" t="s">
        <v>1032</v>
      </c>
      <c r="E450" s="5" t="s">
        <v>1034</v>
      </c>
      <c r="F450" s="5" t="s">
        <v>1011</v>
      </c>
      <c r="G450" s="3" t="s">
        <v>1016</v>
      </c>
      <c r="H450" s="5" t="s">
        <v>744</v>
      </c>
      <c r="I450" s="5" t="s">
        <v>1027</v>
      </c>
      <c r="J450" s="4">
        <v>4926</v>
      </c>
      <c r="K450" s="1">
        <v>43925</v>
      </c>
      <c r="L450" s="1">
        <v>43927</v>
      </c>
      <c r="M450" s="4">
        <v>8</v>
      </c>
      <c r="N450" s="7" cm="1">
        <f t="array" ref="N450">_xlfn.IFS(I450="Dell Inspiron 15",66989,I450="Lenovo IdeaPad Slim 3i",34690,I450="Mi NoteBook Ultra",57999,I450="Samsung Galaxy Go",36990,I450="Acer Aspire 3",38980)</f>
        <v>38980</v>
      </c>
      <c r="O450" s="5" t="s">
        <v>1030</v>
      </c>
    </row>
    <row r="451" spans="1:15" x14ac:dyDescent="0.35">
      <c r="A451" s="4">
        <v>23471</v>
      </c>
      <c r="B451" s="5" t="s">
        <v>362</v>
      </c>
      <c r="C451" s="5" t="s">
        <v>256</v>
      </c>
      <c r="D451" s="5" t="s">
        <v>1032</v>
      </c>
      <c r="E451" s="5" t="s">
        <v>1033</v>
      </c>
      <c r="F451" s="5" t="s">
        <v>1010</v>
      </c>
      <c r="G451" s="3" t="s">
        <v>1015</v>
      </c>
      <c r="H451" s="5" t="s">
        <v>745</v>
      </c>
      <c r="I451" s="5" t="s">
        <v>1023</v>
      </c>
      <c r="J451" s="4">
        <v>4591</v>
      </c>
      <c r="K451" s="1">
        <v>43963</v>
      </c>
      <c r="L451" s="1">
        <v>43965</v>
      </c>
      <c r="M451" s="4">
        <v>4</v>
      </c>
      <c r="N451" s="7" cm="1">
        <f t="array" ref="N451">_xlfn.IFS(I451="Dell Inspiron 15",66989,I451="Lenovo IdeaPad Slim 3i",34690,I451="Mi NoteBook Ultra",57999,I451="Samsung Galaxy Go",36990,I451="Acer Aspire 3",38980)</f>
        <v>66989</v>
      </c>
      <c r="O451" s="5" t="s">
        <v>1030</v>
      </c>
    </row>
    <row r="452" spans="1:15" x14ac:dyDescent="0.35">
      <c r="A452" s="4">
        <v>20377</v>
      </c>
      <c r="B452" s="5" t="s">
        <v>220</v>
      </c>
      <c r="C452" s="5" t="s">
        <v>317</v>
      </c>
      <c r="D452" s="5" t="s">
        <v>1032</v>
      </c>
      <c r="E452" s="5" t="s">
        <v>1035</v>
      </c>
      <c r="F452" s="5" t="s">
        <v>1012</v>
      </c>
      <c r="G452" s="3" t="s">
        <v>1017</v>
      </c>
      <c r="H452" s="5" t="s">
        <v>746</v>
      </c>
      <c r="I452" s="5" t="s">
        <v>1025</v>
      </c>
      <c r="J452" s="4">
        <v>5256</v>
      </c>
      <c r="K452" s="1">
        <v>43963</v>
      </c>
      <c r="L452" s="1">
        <v>43964</v>
      </c>
      <c r="M452" s="4">
        <v>6</v>
      </c>
      <c r="N452" s="7" cm="1">
        <f t="array" ref="N452">_xlfn.IFS(I452="Dell Inspiron 15",66989,I452="Lenovo IdeaPad Slim 3i",34690,I452="Mi NoteBook Ultra",57999,I452="Samsung Galaxy Go",36990,I452="Acer Aspire 3",38980)</f>
        <v>57999</v>
      </c>
      <c r="O452" s="5" t="s">
        <v>1030</v>
      </c>
    </row>
    <row r="453" spans="1:15" x14ac:dyDescent="0.35">
      <c r="A453" s="4">
        <v>24401</v>
      </c>
      <c r="B453" s="5" t="s">
        <v>146</v>
      </c>
      <c r="C453" s="5" t="s">
        <v>747</v>
      </c>
      <c r="D453" s="5" t="s">
        <v>1032</v>
      </c>
      <c r="E453" s="5" t="s">
        <v>1033</v>
      </c>
      <c r="F453" s="5" t="s">
        <v>1010</v>
      </c>
      <c r="G453" s="3" t="s">
        <v>1015</v>
      </c>
      <c r="H453" s="5" t="s">
        <v>748</v>
      </c>
      <c r="I453" s="5" t="s">
        <v>1027</v>
      </c>
      <c r="J453" s="4">
        <v>4812</v>
      </c>
      <c r="K453" s="1">
        <v>43963</v>
      </c>
      <c r="L453" s="1">
        <v>43964</v>
      </c>
      <c r="M453" s="4">
        <v>2</v>
      </c>
      <c r="N453" s="7" cm="1">
        <f t="array" ref="N453">_xlfn.IFS(I453="Dell Inspiron 15",66989,I453="Lenovo IdeaPad Slim 3i",34690,I453="Mi NoteBook Ultra",57999,I453="Samsung Galaxy Go",36990,I453="Acer Aspire 3",38980)</f>
        <v>38980</v>
      </c>
      <c r="O453" s="5" t="s">
        <v>1030</v>
      </c>
    </row>
    <row r="454" spans="1:15" x14ac:dyDescent="0.35">
      <c r="A454" s="4">
        <v>15249</v>
      </c>
      <c r="B454" s="5" t="s">
        <v>77</v>
      </c>
      <c r="C454" s="5" t="s">
        <v>171</v>
      </c>
      <c r="D454" s="5" t="s">
        <v>1032</v>
      </c>
      <c r="E454" s="5" t="s">
        <v>1034</v>
      </c>
      <c r="F454" s="5" t="s">
        <v>1011</v>
      </c>
      <c r="G454" s="3" t="s">
        <v>1016</v>
      </c>
      <c r="H454" s="5" t="s">
        <v>749</v>
      </c>
      <c r="I454" s="5" t="s">
        <v>1023</v>
      </c>
      <c r="J454" s="4">
        <v>4904</v>
      </c>
      <c r="K454" s="1">
        <v>43963</v>
      </c>
      <c r="L454" s="1">
        <v>43964</v>
      </c>
      <c r="M454" s="4">
        <v>6</v>
      </c>
      <c r="N454" s="7" cm="1">
        <f t="array" ref="N454">_xlfn.IFS(I454="Dell Inspiron 15",66989,I454="Lenovo IdeaPad Slim 3i",34690,I454="Mi NoteBook Ultra",57999,I454="Samsung Galaxy Go",36990,I454="Acer Aspire 3",38980)</f>
        <v>66989</v>
      </c>
      <c r="O454" s="5" t="s">
        <v>1030</v>
      </c>
    </row>
    <row r="455" spans="1:15" x14ac:dyDescent="0.35">
      <c r="A455" s="4">
        <v>24708</v>
      </c>
      <c r="B455" s="5" t="s">
        <v>338</v>
      </c>
      <c r="C455" s="5" t="s">
        <v>140</v>
      </c>
      <c r="D455" s="5" t="s">
        <v>1032</v>
      </c>
      <c r="E455" s="5" t="s">
        <v>1033</v>
      </c>
      <c r="F455" s="5" t="s">
        <v>1010</v>
      </c>
      <c r="G455" s="3" t="s">
        <v>1015</v>
      </c>
      <c r="H455" s="5" t="s">
        <v>750</v>
      </c>
      <c r="I455" s="5" t="s">
        <v>1024</v>
      </c>
      <c r="J455" s="4">
        <v>4969</v>
      </c>
      <c r="K455" s="1">
        <v>43929</v>
      </c>
      <c r="L455" s="1">
        <v>43930</v>
      </c>
      <c r="M455" s="4">
        <v>7</v>
      </c>
      <c r="N455" s="7" cm="1">
        <f t="array" ref="N455">_xlfn.IFS(I455="Dell Inspiron 15",66989,I455="Lenovo IdeaPad Slim 3i",34690,I455="Mi NoteBook Ultra",57999,I455="Samsung Galaxy Go",36990,I455="Acer Aspire 3",38980)</f>
        <v>34690</v>
      </c>
      <c r="O455" s="5" t="s">
        <v>1030</v>
      </c>
    </row>
    <row r="456" spans="1:15" x14ac:dyDescent="0.35">
      <c r="A456" s="4">
        <v>21443</v>
      </c>
      <c r="B456" s="5" t="s">
        <v>751</v>
      </c>
      <c r="C456" s="5" t="s">
        <v>9</v>
      </c>
      <c r="D456" s="5" t="s">
        <v>1032</v>
      </c>
      <c r="E456" s="5" t="s">
        <v>1035</v>
      </c>
      <c r="F456" s="5" t="s">
        <v>1012</v>
      </c>
      <c r="G456" s="3" t="s">
        <v>1017</v>
      </c>
      <c r="H456" s="5" t="s">
        <v>752</v>
      </c>
      <c r="I456" s="5" t="s">
        <v>1025</v>
      </c>
      <c r="J456" s="4">
        <v>5202</v>
      </c>
      <c r="K456" s="1">
        <v>43979</v>
      </c>
      <c r="L456" s="1">
        <v>43979</v>
      </c>
      <c r="M456" s="4">
        <v>4</v>
      </c>
      <c r="N456" s="7" cm="1">
        <f t="array" ref="N456">_xlfn.IFS(I456="Dell Inspiron 15",66989,I456="Lenovo IdeaPad Slim 3i",34690,I456="Mi NoteBook Ultra",57999,I456="Samsung Galaxy Go",36990,I456="Acer Aspire 3",38980)</f>
        <v>57999</v>
      </c>
      <c r="O456" s="5" t="s">
        <v>1030</v>
      </c>
    </row>
    <row r="457" spans="1:15" x14ac:dyDescent="0.35">
      <c r="A457" s="4">
        <v>25376</v>
      </c>
      <c r="B457" s="5" t="s">
        <v>454</v>
      </c>
      <c r="C457" s="5" t="s">
        <v>667</v>
      </c>
      <c r="D457" s="5" t="s">
        <v>1032</v>
      </c>
      <c r="E457" s="5" t="s">
        <v>1035</v>
      </c>
      <c r="F457" s="5" t="s">
        <v>1012</v>
      </c>
      <c r="G457" s="3" t="s">
        <v>1017</v>
      </c>
      <c r="H457" s="5" t="s">
        <v>753</v>
      </c>
      <c r="I457" s="5" t="s">
        <v>1026</v>
      </c>
      <c r="J457" s="4">
        <v>5526</v>
      </c>
      <c r="K457" s="1">
        <v>43873</v>
      </c>
      <c r="L457" s="1">
        <v>43876</v>
      </c>
      <c r="M457" s="4">
        <v>7</v>
      </c>
      <c r="N457" s="7" cm="1">
        <f t="array" ref="N457">_xlfn.IFS(I457="Dell Inspiron 15",66989,I457="Lenovo IdeaPad Slim 3i",34690,I457="Mi NoteBook Ultra",57999,I457="Samsung Galaxy Go",36990,I457="Acer Aspire 3",38980)</f>
        <v>36990</v>
      </c>
      <c r="O457" s="5" t="s">
        <v>1030</v>
      </c>
    </row>
    <row r="458" spans="1:15" x14ac:dyDescent="0.35">
      <c r="A458" s="4">
        <v>21124</v>
      </c>
      <c r="B458" s="5" t="s">
        <v>345</v>
      </c>
      <c r="C458" s="5" t="s">
        <v>462</v>
      </c>
      <c r="D458" s="5" t="s">
        <v>1032</v>
      </c>
      <c r="E458" s="5" t="s">
        <v>1035</v>
      </c>
      <c r="F458" s="5" t="s">
        <v>1012</v>
      </c>
      <c r="G458" s="3" t="s">
        <v>1017</v>
      </c>
      <c r="H458" s="5" t="s">
        <v>754</v>
      </c>
      <c r="I458" s="5" t="s">
        <v>1027</v>
      </c>
      <c r="J458" s="4">
        <v>5353</v>
      </c>
      <c r="K458" s="1">
        <v>43873</v>
      </c>
      <c r="L458" s="1">
        <v>43875</v>
      </c>
      <c r="M458" s="4">
        <v>3</v>
      </c>
      <c r="N458" s="7" cm="1">
        <f t="array" ref="N458">_xlfn.IFS(I458="Dell Inspiron 15",66989,I458="Lenovo IdeaPad Slim 3i",34690,I458="Mi NoteBook Ultra",57999,I458="Samsung Galaxy Go",36990,I458="Acer Aspire 3",38980)</f>
        <v>38980</v>
      </c>
      <c r="O458" s="5" t="s">
        <v>1030</v>
      </c>
    </row>
    <row r="459" spans="1:15" x14ac:dyDescent="0.35">
      <c r="A459" s="4">
        <v>12786</v>
      </c>
      <c r="B459" s="5" t="s">
        <v>265</v>
      </c>
      <c r="C459" s="5" t="s">
        <v>206</v>
      </c>
      <c r="D459" s="5" t="s">
        <v>1032</v>
      </c>
      <c r="E459" s="5" t="s">
        <v>1035</v>
      </c>
      <c r="F459" s="5" t="s">
        <v>1012</v>
      </c>
      <c r="G459" s="3" t="s">
        <v>1017</v>
      </c>
      <c r="H459" s="5" t="s">
        <v>755</v>
      </c>
      <c r="I459" s="5" t="s">
        <v>1023</v>
      </c>
      <c r="J459" s="4">
        <v>5251</v>
      </c>
      <c r="K459" s="1">
        <v>43966</v>
      </c>
      <c r="L459" s="1">
        <v>43967</v>
      </c>
      <c r="M459" s="4">
        <v>8</v>
      </c>
      <c r="N459" s="7" cm="1">
        <f t="array" ref="N459">_xlfn.IFS(I459="Dell Inspiron 15",66989,I459="Lenovo IdeaPad Slim 3i",34690,I459="Mi NoteBook Ultra",57999,I459="Samsung Galaxy Go",36990,I459="Acer Aspire 3",38980)</f>
        <v>66989</v>
      </c>
      <c r="O459" s="5" t="s">
        <v>1030</v>
      </c>
    </row>
    <row r="460" spans="1:15" x14ac:dyDescent="0.35">
      <c r="A460" s="4">
        <v>22486</v>
      </c>
      <c r="B460" s="5" t="s">
        <v>593</v>
      </c>
      <c r="C460" s="5" t="s">
        <v>64</v>
      </c>
      <c r="D460" s="5" t="s">
        <v>1032</v>
      </c>
      <c r="E460" s="5" t="s">
        <v>1036</v>
      </c>
      <c r="F460" s="5" t="s">
        <v>1013</v>
      </c>
      <c r="G460" s="3" t="s">
        <v>1018</v>
      </c>
      <c r="H460" s="5" t="s">
        <v>756</v>
      </c>
      <c r="I460" s="5" t="s">
        <v>1025</v>
      </c>
      <c r="J460" s="4">
        <v>5426</v>
      </c>
      <c r="K460" s="1">
        <v>43972</v>
      </c>
      <c r="L460" s="1">
        <v>43974</v>
      </c>
      <c r="M460" s="4">
        <v>5</v>
      </c>
      <c r="N460" s="7" cm="1">
        <f t="array" ref="N460">_xlfn.IFS(I460="Dell Inspiron 15",66989,I460="Lenovo IdeaPad Slim 3i",34690,I460="Mi NoteBook Ultra",57999,I460="Samsung Galaxy Go",36990,I460="Acer Aspire 3",38980)</f>
        <v>57999</v>
      </c>
      <c r="O460" s="5" t="s">
        <v>1030</v>
      </c>
    </row>
    <row r="461" spans="1:15" x14ac:dyDescent="0.35">
      <c r="A461" s="4">
        <v>19250</v>
      </c>
      <c r="B461" s="5" t="s">
        <v>131</v>
      </c>
      <c r="C461" s="5" t="s">
        <v>215</v>
      </c>
      <c r="D461" s="5" t="s">
        <v>1032</v>
      </c>
      <c r="E461" s="5" t="s">
        <v>1033</v>
      </c>
      <c r="F461" s="5" t="s">
        <v>1010</v>
      </c>
      <c r="G461" s="3" t="s">
        <v>1015</v>
      </c>
      <c r="H461" s="5" t="s">
        <v>757</v>
      </c>
      <c r="I461" s="5" t="s">
        <v>1026</v>
      </c>
      <c r="J461" s="4">
        <v>5117</v>
      </c>
      <c r="K461" s="1">
        <v>43966</v>
      </c>
      <c r="L461" s="1">
        <v>43967</v>
      </c>
      <c r="M461" s="4">
        <v>9</v>
      </c>
      <c r="N461" s="7" cm="1">
        <f t="array" ref="N461">_xlfn.IFS(I461="Dell Inspiron 15",66989,I461="Lenovo IdeaPad Slim 3i",34690,I461="Mi NoteBook Ultra",57999,I461="Samsung Galaxy Go",36990,I461="Acer Aspire 3",38980)</f>
        <v>36990</v>
      </c>
      <c r="O461" s="5" t="s">
        <v>1030</v>
      </c>
    </row>
    <row r="462" spans="1:15" x14ac:dyDescent="0.35">
      <c r="A462" s="4">
        <v>24975</v>
      </c>
      <c r="B462" s="5" t="s">
        <v>35</v>
      </c>
      <c r="C462" s="5" t="s">
        <v>269</v>
      </c>
      <c r="D462" s="5" t="s">
        <v>1032</v>
      </c>
      <c r="E462" s="5" t="s">
        <v>1034</v>
      </c>
      <c r="F462" s="5" t="s">
        <v>1011</v>
      </c>
      <c r="G462" s="3" t="s">
        <v>1016</v>
      </c>
      <c r="H462" s="5" t="s">
        <v>758</v>
      </c>
      <c r="I462" s="5" t="s">
        <v>1027</v>
      </c>
      <c r="J462" s="4">
        <v>4668</v>
      </c>
      <c r="K462" s="1">
        <v>43972</v>
      </c>
      <c r="L462" s="1">
        <v>43973</v>
      </c>
      <c r="M462" s="4">
        <v>9</v>
      </c>
      <c r="N462" s="7" cm="1">
        <f t="array" ref="N462">_xlfn.IFS(I462="Dell Inspiron 15",66989,I462="Lenovo IdeaPad Slim 3i",34690,I462="Mi NoteBook Ultra",57999,I462="Samsung Galaxy Go",36990,I462="Acer Aspire 3",38980)</f>
        <v>38980</v>
      </c>
      <c r="O462" s="5" t="s">
        <v>1030</v>
      </c>
    </row>
    <row r="463" spans="1:15" x14ac:dyDescent="0.35">
      <c r="A463" s="4">
        <v>15080</v>
      </c>
      <c r="B463" s="5" t="s">
        <v>275</v>
      </c>
      <c r="C463" s="5" t="s">
        <v>129</v>
      </c>
      <c r="D463" s="5" t="s">
        <v>1032</v>
      </c>
      <c r="E463" s="5" t="s">
        <v>1033</v>
      </c>
      <c r="F463" s="5" t="s">
        <v>1010</v>
      </c>
      <c r="G463" s="3" t="s">
        <v>1015</v>
      </c>
      <c r="H463" s="5" t="s">
        <v>759</v>
      </c>
      <c r="I463" s="5" t="s">
        <v>1023</v>
      </c>
      <c r="J463" s="4">
        <v>4996</v>
      </c>
      <c r="K463" s="1">
        <v>43972</v>
      </c>
      <c r="L463" s="1">
        <v>43974</v>
      </c>
      <c r="M463" s="4">
        <v>10</v>
      </c>
      <c r="N463" s="7" cm="1">
        <f t="array" ref="N463">_xlfn.IFS(I463="Dell Inspiron 15",66989,I463="Lenovo IdeaPad Slim 3i",34690,I463="Mi NoteBook Ultra",57999,I463="Samsung Galaxy Go",36990,I463="Acer Aspire 3",38980)</f>
        <v>66989</v>
      </c>
      <c r="O463" s="5" t="s">
        <v>1030</v>
      </c>
    </row>
    <row r="464" spans="1:15" x14ac:dyDescent="0.35">
      <c r="A464" s="4">
        <v>18178</v>
      </c>
      <c r="B464" s="5" t="s">
        <v>365</v>
      </c>
      <c r="C464" s="5" t="s">
        <v>522</v>
      </c>
      <c r="D464" s="5" t="s">
        <v>1032</v>
      </c>
      <c r="E464" s="5" t="s">
        <v>1035</v>
      </c>
      <c r="F464" s="5" t="s">
        <v>1012</v>
      </c>
      <c r="G464" s="3" t="s">
        <v>1017</v>
      </c>
      <c r="H464" s="5" t="s">
        <v>760</v>
      </c>
      <c r="I464" s="5" t="s">
        <v>1025</v>
      </c>
      <c r="J464" s="4">
        <v>4856</v>
      </c>
      <c r="K464" s="1">
        <v>43858</v>
      </c>
      <c r="L464" s="1">
        <v>43859</v>
      </c>
      <c r="M464" s="4">
        <v>8</v>
      </c>
      <c r="N464" s="7" cm="1">
        <f t="array" ref="N464">_xlfn.IFS(I464="Dell Inspiron 15",66989,I464="Lenovo IdeaPad Slim 3i",34690,I464="Mi NoteBook Ultra",57999,I464="Samsung Galaxy Go",36990,I464="Acer Aspire 3",38980)</f>
        <v>57999</v>
      </c>
      <c r="O464" s="5" t="s">
        <v>1030</v>
      </c>
    </row>
    <row r="465" spans="1:15" x14ac:dyDescent="0.35">
      <c r="A465" s="4">
        <v>18547</v>
      </c>
      <c r="B465" s="5" t="s">
        <v>761</v>
      </c>
      <c r="C465" s="5" t="s">
        <v>650</v>
      </c>
      <c r="D465" s="5" t="s">
        <v>1032</v>
      </c>
      <c r="E465" s="5" t="s">
        <v>1035</v>
      </c>
      <c r="F465" s="5" t="s">
        <v>1012</v>
      </c>
      <c r="G465" s="3" t="s">
        <v>1017</v>
      </c>
      <c r="H465" s="5" t="s">
        <v>762</v>
      </c>
      <c r="I465" s="5" t="s">
        <v>1027</v>
      </c>
      <c r="J465" s="4">
        <v>4599</v>
      </c>
      <c r="K465" s="1">
        <v>43858</v>
      </c>
      <c r="L465" s="1">
        <v>43860</v>
      </c>
      <c r="M465" s="4">
        <v>2</v>
      </c>
      <c r="N465" s="7" cm="1">
        <f t="array" ref="N465">_xlfn.IFS(I465="Dell Inspiron 15",66989,I465="Lenovo IdeaPad Slim 3i",34690,I465="Mi NoteBook Ultra",57999,I465="Samsung Galaxy Go",36990,I465="Acer Aspire 3",38980)</f>
        <v>38980</v>
      </c>
      <c r="O465" s="5" t="s">
        <v>1030</v>
      </c>
    </row>
    <row r="466" spans="1:15" x14ac:dyDescent="0.35">
      <c r="A466" s="4">
        <v>20507</v>
      </c>
      <c r="B466" s="5" t="s">
        <v>290</v>
      </c>
      <c r="C466" s="5" t="s">
        <v>149</v>
      </c>
      <c r="D466" s="5" t="s">
        <v>1032</v>
      </c>
      <c r="E466" s="5" t="s">
        <v>1036</v>
      </c>
      <c r="F466" s="5" t="s">
        <v>1013</v>
      </c>
      <c r="G466" s="3" t="s">
        <v>1018</v>
      </c>
      <c r="H466" s="5" t="s">
        <v>763</v>
      </c>
      <c r="I466" s="5" t="s">
        <v>1023</v>
      </c>
      <c r="J466" s="4">
        <v>5001</v>
      </c>
      <c r="K466" s="1">
        <v>43953</v>
      </c>
      <c r="L466" s="1">
        <v>43955</v>
      </c>
      <c r="M466" s="4">
        <v>8</v>
      </c>
      <c r="N466" s="7" cm="1">
        <f t="array" ref="N466">_xlfn.IFS(I466="Dell Inspiron 15",66989,I466="Lenovo IdeaPad Slim 3i",34690,I466="Mi NoteBook Ultra",57999,I466="Samsung Galaxy Go",36990,I466="Acer Aspire 3",38980)</f>
        <v>66989</v>
      </c>
      <c r="O466" s="5" t="s">
        <v>1030</v>
      </c>
    </row>
    <row r="467" spans="1:15" x14ac:dyDescent="0.35">
      <c r="A467" s="4">
        <v>13732</v>
      </c>
      <c r="B467" s="5" t="s">
        <v>465</v>
      </c>
      <c r="C467" s="5" t="s">
        <v>7</v>
      </c>
      <c r="D467" s="5" t="s">
        <v>1032</v>
      </c>
      <c r="E467" s="5" t="s">
        <v>1033</v>
      </c>
      <c r="F467" s="5" t="s">
        <v>1010</v>
      </c>
      <c r="G467" s="3" t="s">
        <v>1015</v>
      </c>
      <c r="H467" s="5" t="s">
        <v>764</v>
      </c>
      <c r="I467" s="5" t="s">
        <v>1024</v>
      </c>
      <c r="J467" s="4">
        <v>5359</v>
      </c>
      <c r="K467" s="1">
        <v>43883</v>
      </c>
      <c r="L467" s="1">
        <v>43884</v>
      </c>
      <c r="M467" s="4">
        <v>7</v>
      </c>
      <c r="N467" s="7" cm="1">
        <f t="array" ref="N467">_xlfn.IFS(I467="Dell Inspiron 15",66989,I467="Lenovo IdeaPad Slim 3i",34690,I467="Mi NoteBook Ultra",57999,I467="Samsung Galaxy Go",36990,I467="Acer Aspire 3",38980)</f>
        <v>34690</v>
      </c>
      <c r="O467" s="5" t="s">
        <v>1030</v>
      </c>
    </row>
    <row r="468" spans="1:15" x14ac:dyDescent="0.35">
      <c r="A468" s="4">
        <v>15312</v>
      </c>
      <c r="B468" s="5" t="s">
        <v>110</v>
      </c>
      <c r="C468" s="5" t="s">
        <v>765</v>
      </c>
      <c r="D468" s="5" t="s">
        <v>1032</v>
      </c>
      <c r="E468" s="5" t="s">
        <v>1034</v>
      </c>
      <c r="F468" s="5" t="s">
        <v>1011</v>
      </c>
      <c r="G468" s="3" t="s">
        <v>1016</v>
      </c>
      <c r="H468" s="5" t="s">
        <v>766</v>
      </c>
      <c r="I468" s="5" t="s">
        <v>1026</v>
      </c>
      <c r="J468" s="4">
        <v>4913</v>
      </c>
      <c r="K468" s="1">
        <v>43917</v>
      </c>
      <c r="L468" s="1">
        <v>43918</v>
      </c>
      <c r="M468" s="4">
        <v>2</v>
      </c>
      <c r="N468" s="7" cm="1">
        <f t="array" ref="N468">_xlfn.IFS(I468="Dell Inspiron 15",66989,I468="Lenovo IdeaPad Slim 3i",34690,I468="Mi NoteBook Ultra",57999,I468="Samsung Galaxy Go",36990,I468="Acer Aspire 3",38980)</f>
        <v>36990</v>
      </c>
      <c r="O468" s="5" t="s">
        <v>1030</v>
      </c>
    </row>
    <row r="469" spans="1:15" x14ac:dyDescent="0.35">
      <c r="A469" s="4">
        <v>17958</v>
      </c>
      <c r="B469" s="5" t="s">
        <v>134</v>
      </c>
      <c r="C469" s="5" t="s">
        <v>67</v>
      </c>
      <c r="D469" s="5" t="s">
        <v>1032</v>
      </c>
      <c r="E469" s="5" t="s">
        <v>1033</v>
      </c>
      <c r="F469" s="5" t="s">
        <v>1010</v>
      </c>
      <c r="G469" s="3" t="s">
        <v>1015</v>
      </c>
      <c r="H469" s="5" t="s">
        <v>767</v>
      </c>
      <c r="I469" s="5" t="s">
        <v>1023</v>
      </c>
      <c r="J469" s="4">
        <v>4846</v>
      </c>
      <c r="K469" s="1">
        <v>43850</v>
      </c>
      <c r="L469" s="1">
        <v>43852</v>
      </c>
      <c r="M469" s="4">
        <v>3</v>
      </c>
      <c r="N469" s="7" cm="1">
        <f t="array" ref="N469">_xlfn.IFS(I469="Dell Inspiron 15",66989,I469="Lenovo IdeaPad Slim 3i",34690,I469="Mi NoteBook Ultra",57999,I469="Samsung Galaxy Go",36990,I469="Acer Aspire 3",38980)</f>
        <v>66989</v>
      </c>
      <c r="O469" s="5" t="s">
        <v>1030</v>
      </c>
    </row>
    <row r="470" spans="1:15" x14ac:dyDescent="0.35">
      <c r="A470" s="4">
        <v>16972</v>
      </c>
      <c r="B470" s="5" t="s">
        <v>123</v>
      </c>
      <c r="C470" s="5" t="s">
        <v>12</v>
      </c>
      <c r="D470" s="5" t="s">
        <v>1032</v>
      </c>
      <c r="E470" s="5" t="s">
        <v>1035</v>
      </c>
      <c r="F470" s="5" t="s">
        <v>1012</v>
      </c>
      <c r="G470" s="3" t="s">
        <v>1017</v>
      </c>
      <c r="H470" s="5" t="s">
        <v>768</v>
      </c>
      <c r="I470" s="5" t="s">
        <v>1027</v>
      </c>
      <c r="J470" s="4">
        <v>5046</v>
      </c>
      <c r="K470" s="1">
        <v>43902</v>
      </c>
      <c r="L470" s="1">
        <v>43909</v>
      </c>
      <c r="M470" s="4">
        <v>8</v>
      </c>
      <c r="N470" s="7" cm="1">
        <f t="array" ref="N470">_xlfn.IFS(I470="Dell Inspiron 15",66989,I470="Lenovo IdeaPad Slim 3i",34690,I470="Mi NoteBook Ultra",57999,I470="Samsung Galaxy Go",36990,I470="Acer Aspire 3",38980)</f>
        <v>38980</v>
      </c>
      <c r="O470" s="5" t="s">
        <v>1030</v>
      </c>
    </row>
    <row r="471" spans="1:15" x14ac:dyDescent="0.35">
      <c r="A471" s="4">
        <v>20784</v>
      </c>
      <c r="B471" s="5" t="s">
        <v>17</v>
      </c>
      <c r="C471" s="5" t="s">
        <v>86</v>
      </c>
      <c r="D471" s="5" t="s">
        <v>1032</v>
      </c>
      <c r="E471" s="5" t="s">
        <v>1035</v>
      </c>
      <c r="F471" s="5" t="s">
        <v>1012</v>
      </c>
      <c r="G471" s="3" t="s">
        <v>1017</v>
      </c>
      <c r="H471" s="5" t="s">
        <v>769</v>
      </c>
      <c r="I471" s="5" t="s">
        <v>1025</v>
      </c>
      <c r="J471" s="4">
        <v>5042</v>
      </c>
      <c r="K471" s="1">
        <v>43997</v>
      </c>
      <c r="L471" s="1">
        <v>43999</v>
      </c>
      <c r="M471" s="4">
        <v>5</v>
      </c>
      <c r="N471" s="7" cm="1">
        <f t="array" ref="N471">_xlfn.IFS(I471="Dell Inspiron 15",66989,I471="Lenovo IdeaPad Slim 3i",34690,I471="Mi NoteBook Ultra",57999,I471="Samsung Galaxy Go",36990,I471="Acer Aspire 3",38980)</f>
        <v>57999</v>
      </c>
      <c r="O471" s="5" t="s">
        <v>1030</v>
      </c>
    </row>
    <row r="472" spans="1:15" x14ac:dyDescent="0.35">
      <c r="A472" s="4">
        <v>15385</v>
      </c>
      <c r="B472" s="5" t="s">
        <v>321</v>
      </c>
      <c r="C472" s="5" t="s">
        <v>262</v>
      </c>
      <c r="D472" s="5" t="s">
        <v>1032</v>
      </c>
      <c r="E472" s="5" t="s">
        <v>1035</v>
      </c>
      <c r="F472" s="5" t="s">
        <v>1012</v>
      </c>
      <c r="G472" s="3" t="s">
        <v>1017</v>
      </c>
      <c r="H472" s="5" t="s">
        <v>770</v>
      </c>
      <c r="I472" s="5" t="s">
        <v>1026</v>
      </c>
      <c r="J472" s="4">
        <v>5312</v>
      </c>
      <c r="K472" s="1">
        <v>43997</v>
      </c>
      <c r="L472" s="1">
        <v>43998</v>
      </c>
      <c r="M472" s="4">
        <v>9</v>
      </c>
      <c r="N472" s="7" cm="1">
        <f t="array" ref="N472">_xlfn.IFS(I472="Dell Inspiron 15",66989,I472="Lenovo IdeaPad Slim 3i",34690,I472="Mi NoteBook Ultra",57999,I472="Samsung Galaxy Go",36990,I472="Acer Aspire 3",38980)</f>
        <v>36990</v>
      </c>
      <c r="O472" s="5" t="s">
        <v>1030</v>
      </c>
    </row>
    <row r="473" spans="1:15" x14ac:dyDescent="0.35">
      <c r="A473" s="4">
        <v>16834</v>
      </c>
      <c r="B473" s="5" t="s">
        <v>69</v>
      </c>
      <c r="C473" s="5" t="s">
        <v>106</v>
      </c>
      <c r="D473" s="5" t="s">
        <v>1032</v>
      </c>
      <c r="E473" s="5" t="s">
        <v>1035</v>
      </c>
      <c r="F473" s="5" t="s">
        <v>1012</v>
      </c>
      <c r="G473" s="3" t="s">
        <v>1017</v>
      </c>
      <c r="H473" s="5" t="s">
        <v>771</v>
      </c>
      <c r="I473" s="5" t="s">
        <v>1027</v>
      </c>
      <c r="J473" s="4">
        <v>5366</v>
      </c>
      <c r="K473" s="1">
        <v>43961</v>
      </c>
      <c r="L473" s="1">
        <v>43962</v>
      </c>
      <c r="M473" s="4">
        <v>3</v>
      </c>
      <c r="N473" s="7" cm="1">
        <f t="array" ref="N473">_xlfn.IFS(I473="Dell Inspiron 15",66989,I473="Lenovo IdeaPad Slim 3i",34690,I473="Mi NoteBook Ultra",57999,I473="Samsung Galaxy Go",36990,I473="Acer Aspire 3",38980)</f>
        <v>38980</v>
      </c>
      <c r="O473" s="5" t="s">
        <v>1030</v>
      </c>
    </row>
    <row r="474" spans="1:15" x14ac:dyDescent="0.35">
      <c r="A474" s="4">
        <v>17365</v>
      </c>
      <c r="B474" s="5" t="s">
        <v>354</v>
      </c>
      <c r="C474" s="5" t="s">
        <v>256</v>
      </c>
      <c r="D474" s="5" t="s">
        <v>1032</v>
      </c>
      <c r="E474" s="5" t="s">
        <v>1036</v>
      </c>
      <c r="F474" s="5" t="s">
        <v>1013</v>
      </c>
      <c r="G474" s="3" t="s">
        <v>1018</v>
      </c>
      <c r="H474" s="5" t="s">
        <v>772</v>
      </c>
      <c r="I474" s="5" t="s">
        <v>1023</v>
      </c>
      <c r="J474" s="4">
        <v>5382</v>
      </c>
      <c r="K474" s="1">
        <v>43900</v>
      </c>
      <c r="L474" s="1">
        <v>43900</v>
      </c>
      <c r="M474" s="4">
        <v>8</v>
      </c>
      <c r="N474" s="7" cm="1">
        <f t="array" ref="N474">_xlfn.IFS(I474="Dell Inspiron 15",66989,I474="Lenovo IdeaPad Slim 3i",34690,I474="Mi NoteBook Ultra",57999,I474="Samsung Galaxy Go",36990,I474="Acer Aspire 3",38980)</f>
        <v>66989</v>
      </c>
      <c r="O474" s="5" t="s">
        <v>1030</v>
      </c>
    </row>
    <row r="475" spans="1:15" x14ac:dyDescent="0.35">
      <c r="A475" s="4">
        <v>15300</v>
      </c>
      <c r="B475" s="5" t="s">
        <v>324</v>
      </c>
      <c r="C475" s="5" t="s">
        <v>307</v>
      </c>
      <c r="D475" s="5" t="s">
        <v>1032</v>
      </c>
      <c r="E475" s="5" t="s">
        <v>1033</v>
      </c>
      <c r="F475" s="5" t="s">
        <v>1010</v>
      </c>
      <c r="G475" s="3" t="s">
        <v>1015</v>
      </c>
      <c r="H475" s="5" t="s">
        <v>773</v>
      </c>
      <c r="I475" s="5" t="s">
        <v>1025</v>
      </c>
      <c r="J475" s="4">
        <v>5107</v>
      </c>
      <c r="K475" s="1">
        <v>43858</v>
      </c>
      <c r="L475" s="1">
        <v>43860</v>
      </c>
      <c r="M475" s="4">
        <v>8</v>
      </c>
      <c r="N475" s="7" cm="1">
        <f t="array" ref="N475">_xlfn.IFS(I475="Dell Inspiron 15",66989,I475="Lenovo IdeaPad Slim 3i",34690,I475="Mi NoteBook Ultra",57999,I475="Samsung Galaxy Go",36990,I475="Acer Aspire 3",38980)</f>
        <v>57999</v>
      </c>
      <c r="O475" s="5" t="s">
        <v>1030</v>
      </c>
    </row>
    <row r="476" spans="1:15" x14ac:dyDescent="0.35">
      <c r="A476" s="4">
        <v>23891</v>
      </c>
      <c r="B476" s="5" t="s">
        <v>518</v>
      </c>
      <c r="C476" s="5" t="s">
        <v>42</v>
      </c>
      <c r="D476" s="5" t="s">
        <v>1032</v>
      </c>
      <c r="E476" s="5" t="s">
        <v>1034</v>
      </c>
      <c r="F476" s="5" t="s">
        <v>1011</v>
      </c>
      <c r="G476" s="3" t="s">
        <v>1016</v>
      </c>
      <c r="H476" s="5" t="s">
        <v>774</v>
      </c>
      <c r="I476" s="5" t="s">
        <v>1027</v>
      </c>
      <c r="J476" s="4">
        <v>4723</v>
      </c>
      <c r="K476" s="1">
        <v>43900</v>
      </c>
      <c r="L476" s="1">
        <v>43901</v>
      </c>
      <c r="M476" s="4">
        <v>5</v>
      </c>
      <c r="N476" s="7" cm="1">
        <f t="array" ref="N476">_xlfn.IFS(I476="Dell Inspiron 15",66989,I476="Lenovo IdeaPad Slim 3i",34690,I476="Mi NoteBook Ultra",57999,I476="Samsung Galaxy Go",36990,I476="Acer Aspire 3",38980)</f>
        <v>38980</v>
      </c>
      <c r="O476" s="5" t="s">
        <v>1030</v>
      </c>
    </row>
    <row r="477" spans="1:15" x14ac:dyDescent="0.35">
      <c r="A477" s="4">
        <v>19125</v>
      </c>
      <c r="B477" s="5" t="s">
        <v>14</v>
      </c>
      <c r="C477" s="5" t="s">
        <v>317</v>
      </c>
      <c r="D477" s="5" t="s">
        <v>1032</v>
      </c>
      <c r="E477" s="5" t="s">
        <v>1033</v>
      </c>
      <c r="F477" s="5" t="s">
        <v>1010</v>
      </c>
      <c r="G477" s="3" t="s">
        <v>1015</v>
      </c>
      <c r="H477" s="5" t="s">
        <v>775</v>
      </c>
      <c r="I477" s="5" t="s">
        <v>1023</v>
      </c>
      <c r="J477" s="4">
        <v>4709</v>
      </c>
      <c r="K477" s="1">
        <v>43941</v>
      </c>
      <c r="L477" s="1">
        <v>43942</v>
      </c>
      <c r="M477" s="4">
        <v>4</v>
      </c>
      <c r="N477" s="7" cm="1">
        <f t="array" ref="N477">_xlfn.IFS(I477="Dell Inspiron 15",66989,I477="Lenovo IdeaPad Slim 3i",34690,I477="Mi NoteBook Ultra",57999,I477="Samsung Galaxy Go",36990,I477="Acer Aspire 3",38980)</f>
        <v>66989</v>
      </c>
      <c r="O477" s="5" t="s">
        <v>1030</v>
      </c>
    </row>
    <row r="478" spans="1:15" x14ac:dyDescent="0.35">
      <c r="A478" s="4">
        <v>22388</v>
      </c>
      <c r="B478" s="5" t="s">
        <v>156</v>
      </c>
      <c r="C478" s="5" t="s">
        <v>379</v>
      </c>
      <c r="D478" s="5" t="s">
        <v>1032</v>
      </c>
      <c r="E478" s="5" t="s">
        <v>1035</v>
      </c>
      <c r="F478" s="5" t="s">
        <v>1012</v>
      </c>
      <c r="G478" s="3" t="s">
        <v>1017</v>
      </c>
      <c r="H478" s="5" t="s">
        <v>776</v>
      </c>
      <c r="I478" s="5" t="s">
        <v>1024</v>
      </c>
      <c r="J478" s="4">
        <v>4961</v>
      </c>
      <c r="K478" s="1">
        <v>43941</v>
      </c>
      <c r="L478" s="1">
        <v>43942</v>
      </c>
      <c r="M478" s="4">
        <v>5</v>
      </c>
      <c r="N478" s="7" cm="1">
        <f t="array" ref="N478">_xlfn.IFS(I478="Dell Inspiron 15",66989,I478="Lenovo IdeaPad Slim 3i",34690,I478="Mi NoteBook Ultra",57999,I478="Samsung Galaxy Go",36990,I478="Acer Aspire 3",38980)</f>
        <v>34690</v>
      </c>
      <c r="O478" s="5" t="s">
        <v>1030</v>
      </c>
    </row>
    <row r="479" spans="1:15" x14ac:dyDescent="0.35">
      <c r="A479" s="4">
        <v>24287</v>
      </c>
      <c r="B479" s="5" t="s">
        <v>80</v>
      </c>
      <c r="C479" s="5" t="s">
        <v>96</v>
      </c>
      <c r="D479" s="5" t="s">
        <v>1032</v>
      </c>
      <c r="E479" s="5" t="s">
        <v>1035</v>
      </c>
      <c r="F479" s="5" t="s">
        <v>1012</v>
      </c>
      <c r="G479" s="3" t="s">
        <v>1017</v>
      </c>
      <c r="H479" s="5" t="s">
        <v>777</v>
      </c>
      <c r="I479" s="5" t="s">
        <v>1025</v>
      </c>
      <c r="J479" s="4">
        <v>4614</v>
      </c>
      <c r="K479" s="1">
        <v>43960</v>
      </c>
      <c r="L479" s="1">
        <v>43962</v>
      </c>
      <c r="M479" s="4">
        <v>2</v>
      </c>
      <c r="N479" s="7" cm="1">
        <f t="array" ref="N479">_xlfn.IFS(I479="Dell Inspiron 15",66989,I479="Lenovo IdeaPad Slim 3i",34690,I479="Mi NoteBook Ultra",57999,I479="Samsung Galaxy Go",36990,I479="Acer Aspire 3",38980)</f>
        <v>57999</v>
      </c>
      <c r="O479" s="5" t="s">
        <v>1030</v>
      </c>
    </row>
    <row r="480" spans="1:15" x14ac:dyDescent="0.35">
      <c r="A480" s="4">
        <v>16620</v>
      </c>
      <c r="B480" s="5" t="s">
        <v>66</v>
      </c>
      <c r="C480" s="5" t="s">
        <v>694</v>
      </c>
      <c r="D480" s="5" t="s">
        <v>1032</v>
      </c>
      <c r="E480" s="5" t="s">
        <v>1035</v>
      </c>
      <c r="F480" s="5" t="s">
        <v>1012</v>
      </c>
      <c r="G480" s="3" t="s">
        <v>1017</v>
      </c>
      <c r="H480" s="5" t="s">
        <v>778</v>
      </c>
      <c r="I480" s="5" t="s">
        <v>1026</v>
      </c>
      <c r="J480" s="4">
        <v>5002</v>
      </c>
      <c r="K480" s="1">
        <v>43994</v>
      </c>
      <c r="L480" s="1">
        <v>43996</v>
      </c>
      <c r="M480" s="4">
        <v>9</v>
      </c>
      <c r="N480" s="7" cm="1">
        <f t="array" ref="N480">_xlfn.IFS(I480="Dell Inspiron 15",66989,I480="Lenovo IdeaPad Slim 3i",34690,I480="Mi NoteBook Ultra",57999,I480="Samsung Galaxy Go",36990,I480="Acer Aspire 3",38980)</f>
        <v>36990</v>
      </c>
      <c r="O480" s="5" t="s">
        <v>1030</v>
      </c>
    </row>
    <row r="481" spans="1:15" x14ac:dyDescent="0.35">
      <c r="A481" s="4">
        <v>16417</v>
      </c>
      <c r="B481" s="5" t="s">
        <v>261</v>
      </c>
      <c r="C481" s="5" t="s">
        <v>355</v>
      </c>
      <c r="D481" s="5" t="s">
        <v>1032</v>
      </c>
      <c r="E481" s="5" t="s">
        <v>1036</v>
      </c>
      <c r="F481" s="5" t="s">
        <v>1013</v>
      </c>
      <c r="G481" s="3" t="s">
        <v>1018</v>
      </c>
      <c r="H481" s="5" t="s">
        <v>779</v>
      </c>
      <c r="I481" s="5" t="s">
        <v>1027</v>
      </c>
      <c r="J481" s="4">
        <v>4940</v>
      </c>
      <c r="K481" s="1">
        <v>43892</v>
      </c>
      <c r="L481" s="1">
        <v>43894</v>
      </c>
      <c r="M481" s="4">
        <v>2</v>
      </c>
      <c r="N481" s="7" cm="1">
        <f t="array" ref="N481">_xlfn.IFS(I481="Dell Inspiron 15",66989,I481="Lenovo IdeaPad Slim 3i",34690,I481="Mi NoteBook Ultra",57999,I481="Samsung Galaxy Go",36990,I481="Acer Aspire 3",38980)</f>
        <v>38980</v>
      </c>
      <c r="O481" s="5" t="s">
        <v>1030</v>
      </c>
    </row>
    <row r="482" spans="1:15" x14ac:dyDescent="0.35">
      <c r="A482" s="4">
        <v>18409</v>
      </c>
      <c r="B482" s="5" t="s">
        <v>123</v>
      </c>
      <c r="C482" s="5" t="s">
        <v>273</v>
      </c>
      <c r="D482" s="5" t="s">
        <v>1032</v>
      </c>
      <c r="E482" s="5" t="s">
        <v>1035</v>
      </c>
      <c r="F482" s="5" t="s">
        <v>1012</v>
      </c>
      <c r="G482" s="3" t="s">
        <v>1017</v>
      </c>
      <c r="H482" s="5" t="s">
        <v>780</v>
      </c>
      <c r="I482" s="5" t="s">
        <v>1023</v>
      </c>
      <c r="J482" s="4">
        <v>5401</v>
      </c>
      <c r="K482" s="1">
        <v>43892</v>
      </c>
      <c r="L482" s="1">
        <v>43892</v>
      </c>
      <c r="M482" s="4">
        <v>10</v>
      </c>
      <c r="N482" s="7" cm="1">
        <f t="array" ref="N482">_xlfn.IFS(I482="Dell Inspiron 15",66989,I482="Lenovo IdeaPad Slim 3i",34690,I482="Mi NoteBook Ultra",57999,I482="Samsung Galaxy Go",36990,I482="Acer Aspire 3",38980)</f>
        <v>66989</v>
      </c>
      <c r="O482" s="5" t="s">
        <v>1030</v>
      </c>
    </row>
    <row r="483" spans="1:15" x14ac:dyDescent="0.35">
      <c r="A483" s="4">
        <v>25262</v>
      </c>
      <c r="B483" s="5" t="s">
        <v>622</v>
      </c>
      <c r="C483" s="5" t="s">
        <v>15</v>
      </c>
      <c r="D483" s="5" t="s">
        <v>1032</v>
      </c>
      <c r="E483" s="5" t="s">
        <v>1035</v>
      </c>
      <c r="F483" s="5" t="s">
        <v>1012</v>
      </c>
      <c r="G483" s="3" t="s">
        <v>1017</v>
      </c>
      <c r="H483" s="5" t="s">
        <v>781</v>
      </c>
      <c r="I483" s="5" t="s">
        <v>1025</v>
      </c>
      <c r="J483" s="4">
        <v>4697</v>
      </c>
      <c r="K483" s="1">
        <v>43832</v>
      </c>
      <c r="L483" s="1">
        <v>43839</v>
      </c>
      <c r="M483" s="4">
        <v>3</v>
      </c>
      <c r="N483" s="7" cm="1">
        <f t="array" ref="N483">_xlfn.IFS(I483="Dell Inspiron 15",66989,I483="Lenovo IdeaPad Slim 3i",34690,I483="Mi NoteBook Ultra",57999,I483="Samsung Galaxy Go",36990,I483="Acer Aspire 3",38980)</f>
        <v>57999</v>
      </c>
      <c r="O483" s="5" t="s">
        <v>1030</v>
      </c>
    </row>
    <row r="484" spans="1:15" x14ac:dyDescent="0.35">
      <c r="A484" s="4">
        <v>16594</v>
      </c>
      <c r="B484" s="5" t="s">
        <v>334</v>
      </c>
      <c r="C484" s="5" t="s">
        <v>586</v>
      </c>
      <c r="D484" s="5" t="s">
        <v>1032</v>
      </c>
      <c r="E484" s="5" t="s">
        <v>1036</v>
      </c>
      <c r="F484" s="5" t="s">
        <v>1013</v>
      </c>
      <c r="G484" s="3" t="s">
        <v>1018</v>
      </c>
      <c r="H484" s="5" t="s">
        <v>782</v>
      </c>
      <c r="I484" s="5" t="s">
        <v>1027</v>
      </c>
      <c r="J484" s="4">
        <v>4797</v>
      </c>
      <c r="K484" s="1">
        <v>43832</v>
      </c>
      <c r="L484" s="1">
        <v>43832</v>
      </c>
      <c r="M484" s="4">
        <v>3</v>
      </c>
      <c r="N484" s="7" cm="1">
        <f t="array" ref="N484">_xlfn.IFS(I484="Dell Inspiron 15",66989,I484="Lenovo IdeaPad Slim 3i",34690,I484="Mi NoteBook Ultra",57999,I484="Samsung Galaxy Go",36990,I484="Acer Aspire 3",38980)</f>
        <v>38980</v>
      </c>
      <c r="O484" s="5" t="s">
        <v>1030</v>
      </c>
    </row>
    <row r="485" spans="1:15" x14ac:dyDescent="0.35">
      <c r="A485" s="4">
        <v>12739</v>
      </c>
      <c r="B485" s="5" t="s">
        <v>454</v>
      </c>
      <c r="C485" s="5" t="s">
        <v>171</v>
      </c>
      <c r="D485" s="5" t="s">
        <v>1032</v>
      </c>
      <c r="E485" s="5" t="s">
        <v>1036</v>
      </c>
      <c r="F485" s="5" t="s">
        <v>1013</v>
      </c>
      <c r="G485" s="3" t="s">
        <v>1018</v>
      </c>
      <c r="H485" s="5" t="s">
        <v>783</v>
      </c>
      <c r="I485" s="5" t="s">
        <v>1023</v>
      </c>
      <c r="J485" s="4">
        <v>5049</v>
      </c>
      <c r="K485" s="1">
        <v>43832</v>
      </c>
      <c r="L485" s="1">
        <v>43834</v>
      </c>
      <c r="M485" s="4">
        <v>6</v>
      </c>
      <c r="N485" s="7" cm="1">
        <f t="array" ref="N485">_xlfn.IFS(I485="Dell Inspiron 15",66989,I485="Lenovo IdeaPad Slim 3i",34690,I485="Mi NoteBook Ultra",57999,I485="Samsung Galaxy Go",36990,I485="Acer Aspire 3",38980)</f>
        <v>66989</v>
      </c>
      <c r="O485" s="5" t="s">
        <v>1030</v>
      </c>
    </row>
    <row r="486" spans="1:15" x14ac:dyDescent="0.35">
      <c r="A486" s="4">
        <v>23291</v>
      </c>
      <c r="B486" s="5" t="s">
        <v>227</v>
      </c>
      <c r="C486" s="5" t="s">
        <v>39</v>
      </c>
      <c r="D486" s="5" t="s">
        <v>1032</v>
      </c>
      <c r="E486" s="5" t="s">
        <v>1033</v>
      </c>
      <c r="F486" s="5" t="s">
        <v>1010</v>
      </c>
      <c r="G486" s="3" t="s">
        <v>1015</v>
      </c>
      <c r="H486" s="5" t="s">
        <v>784</v>
      </c>
      <c r="I486" s="5" t="s">
        <v>1024</v>
      </c>
      <c r="J486" s="4">
        <v>5285</v>
      </c>
      <c r="K486" s="1">
        <v>43832</v>
      </c>
      <c r="L486" s="1">
        <v>43839</v>
      </c>
      <c r="M486" s="4">
        <v>10</v>
      </c>
      <c r="N486" s="7" cm="1">
        <f t="array" ref="N486">_xlfn.IFS(I486="Dell Inspiron 15",66989,I486="Lenovo IdeaPad Slim 3i",34690,I486="Mi NoteBook Ultra",57999,I486="Samsung Galaxy Go",36990,I486="Acer Aspire 3",38980)</f>
        <v>34690</v>
      </c>
      <c r="O486" s="5" t="s">
        <v>1030</v>
      </c>
    </row>
    <row r="487" spans="1:15" x14ac:dyDescent="0.35">
      <c r="A487" s="4">
        <v>24653</v>
      </c>
      <c r="B487" s="5" t="s">
        <v>577</v>
      </c>
      <c r="C487" s="5" t="s">
        <v>137</v>
      </c>
      <c r="D487" s="5" t="s">
        <v>1032</v>
      </c>
      <c r="E487" s="5" t="s">
        <v>1034</v>
      </c>
      <c r="F487" s="5" t="s">
        <v>1011</v>
      </c>
      <c r="G487" s="3" t="s">
        <v>1016</v>
      </c>
      <c r="H487" s="5" t="s">
        <v>785</v>
      </c>
      <c r="I487" s="5" t="s">
        <v>1026</v>
      </c>
      <c r="J487" s="4">
        <v>5079</v>
      </c>
      <c r="K487" s="1">
        <v>43863</v>
      </c>
      <c r="L487" s="1">
        <v>43865</v>
      </c>
      <c r="M487" s="4">
        <v>8</v>
      </c>
      <c r="N487" s="7" cm="1">
        <f t="array" ref="N487">_xlfn.IFS(I487="Dell Inspiron 15",66989,I487="Lenovo IdeaPad Slim 3i",34690,I487="Mi NoteBook Ultra",57999,I487="Samsung Galaxy Go",36990,I487="Acer Aspire 3",38980)</f>
        <v>36990</v>
      </c>
      <c r="O487" s="5" t="s">
        <v>1030</v>
      </c>
    </row>
    <row r="488" spans="1:15" x14ac:dyDescent="0.35">
      <c r="A488" s="4">
        <v>17921</v>
      </c>
      <c r="B488" s="5" t="s">
        <v>373</v>
      </c>
      <c r="C488" s="5" t="s">
        <v>168</v>
      </c>
      <c r="D488" s="5" t="s">
        <v>1032</v>
      </c>
      <c r="E488" s="5" t="s">
        <v>1033</v>
      </c>
      <c r="F488" s="5" t="s">
        <v>1010</v>
      </c>
      <c r="G488" s="3" t="s">
        <v>1015</v>
      </c>
      <c r="H488" s="5" t="s">
        <v>786</v>
      </c>
      <c r="I488" s="5" t="s">
        <v>1023</v>
      </c>
      <c r="J488" s="4">
        <v>5055</v>
      </c>
      <c r="K488" s="1">
        <v>43863</v>
      </c>
      <c r="L488" s="1">
        <v>43865</v>
      </c>
      <c r="M488" s="4">
        <v>5</v>
      </c>
      <c r="N488" s="7" cm="1">
        <f t="array" ref="N488">_xlfn.IFS(I488="Dell Inspiron 15",66989,I488="Lenovo IdeaPad Slim 3i",34690,I488="Mi NoteBook Ultra",57999,I488="Samsung Galaxy Go",36990,I488="Acer Aspire 3",38980)</f>
        <v>66989</v>
      </c>
      <c r="O488" s="5" t="s">
        <v>1030</v>
      </c>
    </row>
    <row r="489" spans="1:15" x14ac:dyDescent="0.35">
      <c r="A489" s="4">
        <v>21448</v>
      </c>
      <c r="B489" s="5" t="s">
        <v>246</v>
      </c>
      <c r="C489" s="5" t="s">
        <v>124</v>
      </c>
      <c r="D489" s="5" t="s">
        <v>1032</v>
      </c>
      <c r="E489" s="5" t="s">
        <v>1035</v>
      </c>
      <c r="F489" s="5" t="s">
        <v>1012</v>
      </c>
      <c r="G489" s="3" t="s">
        <v>1017</v>
      </c>
      <c r="H489" s="5" t="s">
        <v>787</v>
      </c>
      <c r="I489" s="5" t="s">
        <v>1027</v>
      </c>
      <c r="J489" s="4">
        <v>5408</v>
      </c>
      <c r="K489" s="1">
        <v>43905</v>
      </c>
      <c r="L489" s="1">
        <v>43905</v>
      </c>
      <c r="M489" s="4">
        <v>7</v>
      </c>
      <c r="N489" s="7" cm="1">
        <f t="array" ref="N489">_xlfn.IFS(I489="Dell Inspiron 15",66989,I489="Lenovo IdeaPad Slim 3i",34690,I489="Mi NoteBook Ultra",57999,I489="Samsung Galaxy Go",36990,I489="Acer Aspire 3",38980)</f>
        <v>38980</v>
      </c>
      <c r="O489" s="5" t="s">
        <v>1030</v>
      </c>
    </row>
    <row r="490" spans="1:15" x14ac:dyDescent="0.35">
      <c r="A490" s="4">
        <v>25059</v>
      </c>
      <c r="B490" s="5" t="s">
        <v>283</v>
      </c>
      <c r="C490" s="5" t="s">
        <v>91</v>
      </c>
      <c r="D490" s="5" t="s">
        <v>1032</v>
      </c>
      <c r="E490" s="5" t="s">
        <v>1035</v>
      </c>
      <c r="F490" s="5" t="s">
        <v>1012</v>
      </c>
      <c r="G490" s="3" t="s">
        <v>1017</v>
      </c>
      <c r="H490" s="5" t="s">
        <v>788</v>
      </c>
      <c r="I490" s="5" t="s">
        <v>1025</v>
      </c>
      <c r="J490" s="4">
        <v>5281</v>
      </c>
      <c r="K490" s="1">
        <v>43863</v>
      </c>
      <c r="L490" s="1">
        <v>43864</v>
      </c>
      <c r="M490" s="4">
        <v>9</v>
      </c>
      <c r="N490" s="7" cm="1">
        <f t="array" ref="N490">_xlfn.IFS(I490="Dell Inspiron 15",66989,I490="Lenovo IdeaPad Slim 3i",34690,I490="Mi NoteBook Ultra",57999,I490="Samsung Galaxy Go",36990,I490="Acer Aspire 3",38980)</f>
        <v>57999</v>
      </c>
      <c r="O490" s="5" t="s">
        <v>1030</v>
      </c>
    </row>
    <row r="491" spans="1:15" x14ac:dyDescent="0.35">
      <c r="A491" s="4">
        <v>22391</v>
      </c>
      <c r="B491" s="5" t="s">
        <v>761</v>
      </c>
      <c r="C491" s="5" t="s">
        <v>88</v>
      </c>
      <c r="D491" s="5" t="s">
        <v>1032</v>
      </c>
      <c r="E491" s="5" t="s">
        <v>1036</v>
      </c>
      <c r="F491" s="5" t="s">
        <v>1013</v>
      </c>
      <c r="G491" s="3" t="s">
        <v>1018</v>
      </c>
      <c r="H491" s="5" t="s">
        <v>789</v>
      </c>
      <c r="I491" s="5" t="s">
        <v>1026</v>
      </c>
      <c r="J491" s="4">
        <v>4589</v>
      </c>
      <c r="K491" s="1">
        <v>43920</v>
      </c>
      <c r="L491" s="1">
        <v>43923</v>
      </c>
      <c r="M491" s="4">
        <v>9</v>
      </c>
      <c r="N491" s="7" cm="1">
        <f t="array" ref="N491">_xlfn.IFS(I491="Dell Inspiron 15",66989,I491="Lenovo IdeaPad Slim 3i",34690,I491="Mi NoteBook Ultra",57999,I491="Samsung Galaxy Go",36990,I491="Acer Aspire 3",38980)</f>
        <v>36990</v>
      </c>
      <c r="O491" s="5" t="s">
        <v>1030</v>
      </c>
    </row>
    <row r="492" spans="1:15" x14ac:dyDescent="0.35">
      <c r="A492" s="4">
        <v>16185</v>
      </c>
      <c r="B492" s="5" t="s">
        <v>230</v>
      </c>
      <c r="C492" s="5" t="s">
        <v>111</v>
      </c>
      <c r="D492" s="5" t="s">
        <v>1032</v>
      </c>
      <c r="E492" s="5" t="s">
        <v>1033</v>
      </c>
      <c r="F492" s="5" t="s">
        <v>1010</v>
      </c>
      <c r="G492" s="3" t="s">
        <v>1015</v>
      </c>
      <c r="H492" s="5" t="s">
        <v>790</v>
      </c>
      <c r="I492" s="5" t="s">
        <v>1027</v>
      </c>
      <c r="J492" s="4">
        <v>5444</v>
      </c>
      <c r="K492" s="1">
        <v>43985</v>
      </c>
      <c r="L492" s="1">
        <v>43990</v>
      </c>
      <c r="M492" s="4">
        <v>4</v>
      </c>
      <c r="N492" s="7" cm="1">
        <f t="array" ref="N492">_xlfn.IFS(I492="Dell Inspiron 15",66989,I492="Lenovo IdeaPad Slim 3i",34690,I492="Mi NoteBook Ultra",57999,I492="Samsung Galaxy Go",36990,I492="Acer Aspire 3",38980)</f>
        <v>38980</v>
      </c>
      <c r="O492" s="5" t="s">
        <v>1030</v>
      </c>
    </row>
    <row r="493" spans="1:15" x14ac:dyDescent="0.35">
      <c r="A493" s="4">
        <v>14415</v>
      </c>
      <c r="B493" s="5" t="s">
        <v>454</v>
      </c>
      <c r="C493" s="5" t="s">
        <v>650</v>
      </c>
      <c r="D493" s="5" t="s">
        <v>1032</v>
      </c>
      <c r="E493" s="5" t="s">
        <v>1034</v>
      </c>
      <c r="F493" s="5" t="s">
        <v>1011</v>
      </c>
      <c r="G493" s="3" t="s">
        <v>1016</v>
      </c>
      <c r="H493" s="5" t="s">
        <v>791</v>
      </c>
      <c r="I493" s="5" t="s">
        <v>1023</v>
      </c>
      <c r="J493" s="4">
        <v>4963</v>
      </c>
      <c r="K493" s="1">
        <v>43912</v>
      </c>
      <c r="L493" s="1">
        <v>43913</v>
      </c>
      <c r="M493" s="4">
        <v>7</v>
      </c>
      <c r="N493" s="7" cm="1">
        <f t="array" ref="N493">_xlfn.IFS(I493="Dell Inspiron 15",66989,I493="Lenovo IdeaPad Slim 3i",34690,I493="Mi NoteBook Ultra",57999,I493="Samsung Galaxy Go",36990,I493="Acer Aspire 3",38980)</f>
        <v>66989</v>
      </c>
      <c r="O493" s="5" t="s">
        <v>1030</v>
      </c>
    </row>
    <row r="494" spans="1:15" x14ac:dyDescent="0.35">
      <c r="A494" s="4">
        <v>24735</v>
      </c>
      <c r="B494" s="5" t="s">
        <v>275</v>
      </c>
      <c r="C494" s="5" t="s">
        <v>192</v>
      </c>
      <c r="D494" s="5" t="s">
        <v>1032</v>
      </c>
      <c r="E494" s="5" t="s">
        <v>1033</v>
      </c>
      <c r="F494" s="5" t="s">
        <v>1010</v>
      </c>
      <c r="G494" s="3" t="s">
        <v>1015</v>
      </c>
      <c r="H494" s="5" t="s">
        <v>792</v>
      </c>
      <c r="I494" s="5" t="s">
        <v>1025</v>
      </c>
      <c r="J494" s="4">
        <v>4642</v>
      </c>
      <c r="K494" s="1">
        <v>43912</v>
      </c>
      <c r="L494" s="1">
        <v>43915</v>
      </c>
      <c r="M494" s="4">
        <v>2</v>
      </c>
      <c r="N494" s="7" cm="1">
        <f t="array" ref="N494">_xlfn.IFS(I494="Dell Inspiron 15",66989,I494="Lenovo IdeaPad Slim 3i",34690,I494="Mi NoteBook Ultra",57999,I494="Samsung Galaxy Go",36990,I494="Acer Aspire 3",38980)</f>
        <v>57999</v>
      </c>
      <c r="O494" s="5" t="s">
        <v>1030</v>
      </c>
    </row>
    <row r="495" spans="1:15" x14ac:dyDescent="0.35">
      <c r="A495" s="4">
        <v>17783</v>
      </c>
      <c r="B495" s="5" t="s">
        <v>26</v>
      </c>
      <c r="C495" s="5" t="s">
        <v>117</v>
      </c>
      <c r="D495" s="5" t="s">
        <v>1032</v>
      </c>
      <c r="E495" s="5" t="s">
        <v>1035</v>
      </c>
      <c r="F495" s="5" t="s">
        <v>1012</v>
      </c>
      <c r="G495" s="3" t="s">
        <v>1017</v>
      </c>
      <c r="H495" s="5" t="s">
        <v>793</v>
      </c>
      <c r="I495" s="5" t="s">
        <v>1027</v>
      </c>
      <c r="J495" s="4">
        <v>5096</v>
      </c>
      <c r="K495" s="1">
        <v>43968</v>
      </c>
      <c r="L495" s="1">
        <v>43969</v>
      </c>
      <c r="M495" s="4">
        <v>6</v>
      </c>
      <c r="N495" s="7" cm="1">
        <f t="array" ref="N495">_xlfn.IFS(I495="Dell Inspiron 15",66989,I495="Lenovo IdeaPad Slim 3i",34690,I495="Mi NoteBook Ultra",57999,I495="Samsung Galaxy Go",36990,I495="Acer Aspire 3",38980)</f>
        <v>38980</v>
      </c>
      <c r="O495" s="5" t="s">
        <v>1030</v>
      </c>
    </row>
    <row r="496" spans="1:15" x14ac:dyDescent="0.35">
      <c r="A496" s="4">
        <v>24194</v>
      </c>
      <c r="B496" s="5" t="s">
        <v>240</v>
      </c>
      <c r="C496" s="5" t="s">
        <v>278</v>
      </c>
      <c r="D496" s="5" t="s">
        <v>1032</v>
      </c>
      <c r="E496" s="5" t="s">
        <v>1035</v>
      </c>
      <c r="F496" s="5" t="s">
        <v>1012</v>
      </c>
      <c r="G496" s="3" t="s">
        <v>1017</v>
      </c>
      <c r="H496" s="5" t="s">
        <v>794</v>
      </c>
      <c r="I496" s="5" t="s">
        <v>1023</v>
      </c>
      <c r="J496" s="4">
        <v>5009</v>
      </c>
      <c r="K496" s="1">
        <v>43879</v>
      </c>
      <c r="L496" s="1">
        <v>43881</v>
      </c>
      <c r="M496" s="4">
        <v>9</v>
      </c>
      <c r="N496" s="7" cm="1">
        <f t="array" ref="N496">_xlfn.IFS(I496="Dell Inspiron 15",66989,I496="Lenovo IdeaPad Slim 3i",34690,I496="Mi NoteBook Ultra",57999,I496="Samsung Galaxy Go",36990,I496="Acer Aspire 3",38980)</f>
        <v>66989</v>
      </c>
      <c r="O496" s="5" t="s">
        <v>1030</v>
      </c>
    </row>
    <row r="497" spans="1:15" x14ac:dyDescent="0.35">
      <c r="A497" s="4">
        <v>13714</v>
      </c>
      <c r="B497" s="5" t="s">
        <v>731</v>
      </c>
      <c r="C497" s="5" t="s">
        <v>4</v>
      </c>
      <c r="D497" s="5" t="s">
        <v>1032</v>
      </c>
      <c r="E497" s="5" t="s">
        <v>1036</v>
      </c>
      <c r="F497" s="5" t="s">
        <v>1013</v>
      </c>
      <c r="G497" s="3" t="s">
        <v>1018</v>
      </c>
      <c r="H497" s="5" t="s">
        <v>795</v>
      </c>
      <c r="I497" s="5" t="s">
        <v>1024</v>
      </c>
      <c r="J497" s="4">
        <v>5315</v>
      </c>
      <c r="K497" s="1">
        <v>43894</v>
      </c>
      <c r="L497" s="1">
        <v>43896</v>
      </c>
      <c r="M497" s="4">
        <v>5</v>
      </c>
      <c r="N497" s="7" cm="1">
        <f t="array" ref="N497">_xlfn.IFS(I497="Dell Inspiron 15",66989,I497="Lenovo IdeaPad Slim 3i",34690,I497="Mi NoteBook Ultra",57999,I497="Samsung Galaxy Go",36990,I497="Acer Aspire 3",38980)</f>
        <v>34690</v>
      </c>
      <c r="O497" s="5" t="s">
        <v>1030</v>
      </c>
    </row>
    <row r="498" spans="1:15" x14ac:dyDescent="0.35">
      <c r="A498" s="4">
        <v>13372</v>
      </c>
      <c r="B498" s="5" t="s">
        <v>713</v>
      </c>
      <c r="C498" s="5" t="s">
        <v>624</v>
      </c>
      <c r="D498" s="5" t="s">
        <v>1032</v>
      </c>
      <c r="E498" s="5" t="s">
        <v>1033</v>
      </c>
      <c r="F498" s="5" t="s">
        <v>1010</v>
      </c>
      <c r="G498" s="3" t="s">
        <v>1015</v>
      </c>
      <c r="H498" s="5" t="s">
        <v>796</v>
      </c>
      <c r="I498" s="5" t="s">
        <v>1023</v>
      </c>
      <c r="J498" s="4">
        <v>5206</v>
      </c>
      <c r="K498" s="1">
        <v>43968</v>
      </c>
      <c r="L498" s="1">
        <v>43970</v>
      </c>
      <c r="M498" s="4">
        <v>10</v>
      </c>
      <c r="N498" s="7" cm="1">
        <f t="array" ref="N498">_xlfn.IFS(I498="Dell Inspiron 15",66989,I498="Lenovo IdeaPad Slim 3i",34690,I498="Mi NoteBook Ultra",57999,I498="Samsung Galaxy Go",36990,I498="Acer Aspire 3",38980)</f>
        <v>66989</v>
      </c>
      <c r="O498" s="5" t="s">
        <v>1030</v>
      </c>
    </row>
    <row r="499" spans="1:15" x14ac:dyDescent="0.35">
      <c r="A499" s="4">
        <v>22885</v>
      </c>
      <c r="B499" s="5" t="s">
        <v>674</v>
      </c>
      <c r="C499" s="5" t="s">
        <v>81</v>
      </c>
      <c r="D499" s="5" t="s">
        <v>1032</v>
      </c>
      <c r="E499" s="5" t="s">
        <v>1036</v>
      </c>
      <c r="F499" s="5" t="s">
        <v>1013</v>
      </c>
      <c r="G499" s="3" t="s">
        <v>1018</v>
      </c>
      <c r="H499" s="5" t="s">
        <v>797</v>
      </c>
      <c r="I499" s="5" t="s">
        <v>1024</v>
      </c>
      <c r="J499" s="4">
        <v>5452</v>
      </c>
      <c r="K499" s="1">
        <v>43968</v>
      </c>
      <c r="L499" s="1">
        <v>43969</v>
      </c>
      <c r="M499" s="4">
        <v>7</v>
      </c>
      <c r="N499" s="7" cm="1">
        <f t="array" ref="N499">_xlfn.IFS(I499="Dell Inspiron 15",66989,I499="Lenovo IdeaPad Slim 3i",34690,I499="Mi NoteBook Ultra",57999,I499="Samsung Galaxy Go",36990,I499="Acer Aspire 3",38980)</f>
        <v>34690</v>
      </c>
      <c r="O499" s="5" t="s">
        <v>1030</v>
      </c>
    </row>
    <row r="500" spans="1:15" x14ac:dyDescent="0.35">
      <c r="A500" s="4">
        <v>20216</v>
      </c>
      <c r="B500" s="5" t="s">
        <v>460</v>
      </c>
      <c r="C500" s="5" t="s">
        <v>24</v>
      </c>
      <c r="D500" s="5" t="s">
        <v>1032</v>
      </c>
      <c r="E500" s="5" t="s">
        <v>1033</v>
      </c>
      <c r="F500" s="5" t="s">
        <v>1010</v>
      </c>
      <c r="G500" s="3" t="s">
        <v>1015</v>
      </c>
      <c r="H500" s="5" t="s">
        <v>798</v>
      </c>
      <c r="I500" s="5" t="s">
        <v>1025</v>
      </c>
      <c r="J500" s="4">
        <v>5175</v>
      </c>
      <c r="K500" s="1">
        <v>43989</v>
      </c>
      <c r="L500" s="1">
        <v>43991</v>
      </c>
      <c r="M500" s="4">
        <v>6</v>
      </c>
      <c r="N500" s="7" cm="1">
        <f t="array" ref="N500">_xlfn.IFS(I500="Dell Inspiron 15",66989,I500="Lenovo IdeaPad Slim 3i",34690,I500="Mi NoteBook Ultra",57999,I500="Samsung Galaxy Go",36990,I500="Acer Aspire 3",38980)</f>
        <v>57999</v>
      </c>
      <c r="O500" s="5" t="s">
        <v>1030</v>
      </c>
    </row>
    <row r="501" spans="1:15" x14ac:dyDescent="0.35">
      <c r="A501" s="4">
        <v>21869</v>
      </c>
      <c r="B501" s="5" t="s">
        <v>482</v>
      </c>
      <c r="C501" s="5" t="s">
        <v>208</v>
      </c>
      <c r="D501" s="5" t="s">
        <v>1032</v>
      </c>
      <c r="E501" s="5" t="s">
        <v>1034</v>
      </c>
      <c r="F501" s="5" t="s">
        <v>1011</v>
      </c>
      <c r="G501" s="3" t="s">
        <v>1016</v>
      </c>
      <c r="H501" s="5" t="s">
        <v>799</v>
      </c>
      <c r="I501" s="5" t="s">
        <v>1026</v>
      </c>
      <c r="J501" s="4">
        <v>5214</v>
      </c>
      <c r="K501" s="1">
        <v>43954</v>
      </c>
      <c r="L501" s="1">
        <v>43956</v>
      </c>
      <c r="M501" s="4">
        <v>1</v>
      </c>
      <c r="N501" s="7" cm="1">
        <f t="array" ref="N501">_xlfn.IFS(I501="Dell Inspiron 15",66989,I501="Lenovo IdeaPad Slim 3i",34690,I501="Mi NoteBook Ultra",57999,I501="Samsung Galaxy Go",36990,I501="Acer Aspire 3",38980)</f>
        <v>36990</v>
      </c>
      <c r="O501" s="5" t="s">
        <v>1030</v>
      </c>
    </row>
    <row r="502" spans="1:15" x14ac:dyDescent="0.35">
      <c r="A502" s="4">
        <v>13383</v>
      </c>
      <c r="B502" s="5" t="s">
        <v>121</v>
      </c>
      <c r="C502" s="5" t="s">
        <v>294</v>
      </c>
      <c r="D502" s="5" t="s">
        <v>1032</v>
      </c>
      <c r="E502" s="5" t="s">
        <v>1033</v>
      </c>
      <c r="F502" s="5" t="s">
        <v>1010</v>
      </c>
      <c r="G502" s="3" t="s">
        <v>1015</v>
      </c>
      <c r="H502" s="5" t="s">
        <v>800</v>
      </c>
      <c r="I502" s="5" t="s">
        <v>1027</v>
      </c>
      <c r="J502" s="4">
        <v>4737</v>
      </c>
      <c r="K502" s="1">
        <v>43954</v>
      </c>
      <c r="L502" s="1">
        <v>43956</v>
      </c>
      <c r="M502" s="4">
        <v>2</v>
      </c>
      <c r="N502" s="7" cm="1">
        <f t="array" ref="N502">_xlfn.IFS(I502="Dell Inspiron 15",66989,I502="Lenovo IdeaPad Slim 3i",34690,I502="Mi NoteBook Ultra",57999,I502="Samsung Galaxy Go",36990,I502="Acer Aspire 3",38980)</f>
        <v>38980</v>
      </c>
      <c r="O502" s="5" t="s">
        <v>1030</v>
      </c>
    </row>
    <row r="503" spans="1:15" x14ac:dyDescent="0.35">
      <c r="A503" s="4">
        <v>16271</v>
      </c>
      <c r="B503" s="5" t="s">
        <v>116</v>
      </c>
      <c r="C503" s="5" t="s">
        <v>694</v>
      </c>
      <c r="D503" s="5" t="s">
        <v>1032</v>
      </c>
      <c r="E503" s="5" t="s">
        <v>1035</v>
      </c>
      <c r="F503" s="5" t="s">
        <v>1012</v>
      </c>
      <c r="G503" s="3" t="s">
        <v>1017</v>
      </c>
      <c r="H503" s="5" t="s">
        <v>801</v>
      </c>
      <c r="I503" s="5" t="s">
        <v>1023</v>
      </c>
      <c r="J503" s="4">
        <v>5479</v>
      </c>
      <c r="K503" s="1">
        <v>43954</v>
      </c>
      <c r="L503" s="1">
        <v>43956</v>
      </c>
      <c r="M503" s="4">
        <v>1</v>
      </c>
      <c r="N503" s="7" cm="1">
        <f t="array" ref="N503">_xlfn.IFS(I503="Dell Inspiron 15",66989,I503="Lenovo IdeaPad Slim 3i",34690,I503="Mi NoteBook Ultra",57999,I503="Samsung Galaxy Go",36990,I503="Acer Aspire 3",38980)</f>
        <v>66989</v>
      </c>
      <c r="O503" s="5" t="s">
        <v>1030</v>
      </c>
    </row>
    <row r="504" spans="1:15" x14ac:dyDescent="0.35">
      <c r="A504" s="4">
        <v>24890</v>
      </c>
      <c r="B504" s="5" t="s">
        <v>405</v>
      </c>
      <c r="C504" s="5" t="s">
        <v>297</v>
      </c>
      <c r="D504" s="5" t="s">
        <v>1032</v>
      </c>
      <c r="E504" s="5" t="s">
        <v>1033</v>
      </c>
      <c r="F504" s="5" t="s">
        <v>1010</v>
      </c>
      <c r="G504" s="3" t="s">
        <v>1015</v>
      </c>
      <c r="H504" s="5" t="s">
        <v>802</v>
      </c>
      <c r="I504" s="5" t="s">
        <v>1025</v>
      </c>
      <c r="J504" s="4">
        <v>4867</v>
      </c>
      <c r="K504" s="1">
        <v>43954</v>
      </c>
      <c r="L504" s="1">
        <v>43955</v>
      </c>
      <c r="M504" s="4">
        <v>5</v>
      </c>
      <c r="N504" s="7" cm="1">
        <f t="array" ref="N504">_xlfn.IFS(I504="Dell Inspiron 15",66989,I504="Lenovo IdeaPad Slim 3i",34690,I504="Mi NoteBook Ultra",57999,I504="Samsung Galaxy Go",36990,I504="Acer Aspire 3",38980)</f>
        <v>57999</v>
      </c>
      <c r="O504" s="5" t="s">
        <v>1030</v>
      </c>
    </row>
    <row r="505" spans="1:15" x14ac:dyDescent="0.35">
      <c r="A505" s="4">
        <v>21597</v>
      </c>
      <c r="B505" s="5" t="s">
        <v>569</v>
      </c>
      <c r="C505" s="5" t="s">
        <v>36</v>
      </c>
      <c r="D505" s="5" t="s">
        <v>1032</v>
      </c>
      <c r="E505" s="5" t="s">
        <v>1034</v>
      </c>
      <c r="F505" s="5" t="s">
        <v>1011</v>
      </c>
      <c r="G505" s="3" t="s">
        <v>1016</v>
      </c>
      <c r="H505" s="5" t="s">
        <v>803</v>
      </c>
      <c r="I505" s="5" t="s">
        <v>1027</v>
      </c>
      <c r="J505" s="4">
        <v>5068</v>
      </c>
      <c r="K505" s="1">
        <v>44004</v>
      </c>
      <c r="L505" s="1">
        <v>44006</v>
      </c>
      <c r="M505" s="4">
        <v>6</v>
      </c>
      <c r="N505" s="7" cm="1">
        <f t="array" ref="N505">_xlfn.IFS(I505="Dell Inspiron 15",66989,I505="Lenovo IdeaPad Slim 3i",34690,I505="Mi NoteBook Ultra",57999,I505="Samsung Galaxy Go",36990,I505="Acer Aspire 3",38980)</f>
        <v>38980</v>
      </c>
      <c r="O505" s="5" t="s">
        <v>1030</v>
      </c>
    </row>
    <row r="506" spans="1:15" x14ac:dyDescent="0.35">
      <c r="A506" s="4">
        <v>23397</v>
      </c>
      <c r="B506" s="5" t="s">
        <v>7</v>
      </c>
      <c r="C506" s="5" t="s">
        <v>385</v>
      </c>
      <c r="D506" s="5" t="s">
        <v>1032</v>
      </c>
      <c r="E506" s="5" t="s">
        <v>1033</v>
      </c>
      <c r="F506" s="5" t="s">
        <v>1010</v>
      </c>
      <c r="G506" s="3" t="s">
        <v>1015</v>
      </c>
      <c r="H506" s="5" t="s">
        <v>804</v>
      </c>
      <c r="I506" s="5" t="s">
        <v>1023</v>
      </c>
      <c r="J506" s="4">
        <v>5256</v>
      </c>
      <c r="K506" s="1">
        <v>43927</v>
      </c>
      <c r="L506" s="1">
        <v>43928</v>
      </c>
      <c r="M506" s="4">
        <v>2</v>
      </c>
      <c r="N506" s="7" cm="1">
        <f t="array" ref="N506">_xlfn.IFS(I506="Dell Inspiron 15",66989,I506="Lenovo IdeaPad Slim 3i",34690,I506="Mi NoteBook Ultra",57999,I506="Samsung Galaxy Go",36990,I506="Acer Aspire 3",38980)</f>
        <v>66989</v>
      </c>
      <c r="O506" s="5" t="s">
        <v>1030</v>
      </c>
    </row>
    <row r="507" spans="1:15" x14ac:dyDescent="0.35">
      <c r="A507" s="4">
        <v>19335</v>
      </c>
      <c r="B507" s="5" t="s">
        <v>387</v>
      </c>
      <c r="C507" s="5" t="s">
        <v>379</v>
      </c>
      <c r="D507" s="5" t="s">
        <v>1032</v>
      </c>
      <c r="E507" s="5" t="s">
        <v>1035</v>
      </c>
      <c r="F507" s="5" t="s">
        <v>1012</v>
      </c>
      <c r="G507" s="3" t="s">
        <v>1017</v>
      </c>
      <c r="H507" s="5" t="s">
        <v>805</v>
      </c>
      <c r="I507" s="5" t="s">
        <v>1024</v>
      </c>
      <c r="J507" s="4">
        <v>5125</v>
      </c>
      <c r="K507" s="1">
        <v>44004</v>
      </c>
      <c r="L507" s="1">
        <v>44006</v>
      </c>
      <c r="M507" s="4">
        <v>8</v>
      </c>
      <c r="N507" s="7" cm="1">
        <f t="array" ref="N507">_xlfn.IFS(I507="Dell Inspiron 15",66989,I507="Lenovo IdeaPad Slim 3i",34690,I507="Mi NoteBook Ultra",57999,I507="Samsung Galaxy Go",36990,I507="Acer Aspire 3",38980)</f>
        <v>34690</v>
      </c>
      <c r="O507" s="5" t="s">
        <v>1030</v>
      </c>
    </row>
    <row r="508" spans="1:15" x14ac:dyDescent="0.35">
      <c r="A508" s="4">
        <v>20975</v>
      </c>
      <c r="B508" s="5" t="s">
        <v>413</v>
      </c>
      <c r="C508" s="5" t="s">
        <v>143</v>
      </c>
      <c r="D508" s="5" t="s">
        <v>1032</v>
      </c>
      <c r="E508" s="5" t="s">
        <v>1035</v>
      </c>
      <c r="F508" s="5" t="s">
        <v>1012</v>
      </c>
      <c r="G508" s="3" t="s">
        <v>1017</v>
      </c>
      <c r="H508" s="5" t="s">
        <v>806</v>
      </c>
      <c r="I508" s="5" t="s">
        <v>1026</v>
      </c>
      <c r="J508" s="4">
        <v>5338</v>
      </c>
      <c r="K508" s="1">
        <v>44004</v>
      </c>
      <c r="L508" s="1">
        <v>44005</v>
      </c>
      <c r="M508" s="4">
        <v>10</v>
      </c>
      <c r="N508" s="7" cm="1">
        <f t="array" ref="N508">_xlfn.IFS(I508="Dell Inspiron 15",66989,I508="Lenovo IdeaPad Slim 3i",34690,I508="Mi NoteBook Ultra",57999,I508="Samsung Galaxy Go",36990,I508="Acer Aspire 3",38980)</f>
        <v>36990</v>
      </c>
      <c r="O508" s="5" t="s">
        <v>1030</v>
      </c>
    </row>
    <row r="509" spans="1:15" x14ac:dyDescent="0.35">
      <c r="A509" s="4">
        <v>16939</v>
      </c>
      <c r="B509" s="5" t="s">
        <v>146</v>
      </c>
      <c r="C509" s="5" t="s">
        <v>366</v>
      </c>
      <c r="D509" s="5" t="s">
        <v>1032</v>
      </c>
      <c r="E509" s="5" t="s">
        <v>1035</v>
      </c>
      <c r="F509" s="5" t="s">
        <v>1012</v>
      </c>
      <c r="G509" s="3" t="s">
        <v>1017</v>
      </c>
      <c r="H509" s="5" t="s">
        <v>807</v>
      </c>
      <c r="I509" s="5" t="s">
        <v>1023</v>
      </c>
      <c r="J509" s="4">
        <v>5040</v>
      </c>
      <c r="K509" s="1">
        <v>43927</v>
      </c>
      <c r="L509" s="1">
        <v>43928</v>
      </c>
      <c r="M509" s="4">
        <v>2</v>
      </c>
      <c r="N509" s="7" cm="1">
        <f t="array" ref="N509">_xlfn.IFS(I509="Dell Inspiron 15",66989,I509="Lenovo IdeaPad Slim 3i",34690,I509="Mi NoteBook Ultra",57999,I509="Samsung Galaxy Go",36990,I509="Acer Aspire 3",38980)</f>
        <v>66989</v>
      </c>
      <c r="O509" s="5" t="s">
        <v>1030</v>
      </c>
    </row>
    <row r="510" spans="1:15" x14ac:dyDescent="0.35">
      <c r="A510" s="4">
        <v>23348</v>
      </c>
      <c r="B510" s="5" t="s">
        <v>220</v>
      </c>
      <c r="C510" s="5" t="s">
        <v>182</v>
      </c>
      <c r="D510" s="5" t="s">
        <v>1032</v>
      </c>
      <c r="E510" s="5" t="s">
        <v>1035</v>
      </c>
      <c r="F510" s="5" t="s">
        <v>1012</v>
      </c>
      <c r="G510" s="3" t="s">
        <v>1017</v>
      </c>
      <c r="H510" s="5" t="s">
        <v>808</v>
      </c>
      <c r="I510" s="5" t="s">
        <v>1027</v>
      </c>
      <c r="J510" s="4">
        <v>4667</v>
      </c>
      <c r="K510" s="1">
        <v>44004</v>
      </c>
      <c r="L510" s="1">
        <v>44005</v>
      </c>
      <c r="M510" s="4">
        <v>9</v>
      </c>
      <c r="N510" s="7" cm="1">
        <f t="array" ref="N510">_xlfn.IFS(I510="Dell Inspiron 15",66989,I510="Lenovo IdeaPad Slim 3i",34690,I510="Mi NoteBook Ultra",57999,I510="Samsung Galaxy Go",36990,I510="Acer Aspire 3",38980)</f>
        <v>38980</v>
      </c>
      <c r="O510" s="5" t="s">
        <v>1030</v>
      </c>
    </row>
    <row r="511" spans="1:15" x14ac:dyDescent="0.35">
      <c r="A511" s="4">
        <v>20490</v>
      </c>
      <c r="B511" s="5" t="s">
        <v>392</v>
      </c>
      <c r="C511" s="5" t="s">
        <v>146</v>
      </c>
      <c r="D511" s="5" t="s">
        <v>1032</v>
      </c>
      <c r="E511" s="5" t="s">
        <v>1036</v>
      </c>
      <c r="F511" s="5" t="s">
        <v>1013</v>
      </c>
      <c r="G511" s="3" t="s">
        <v>1018</v>
      </c>
      <c r="H511" s="5" t="s">
        <v>809</v>
      </c>
      <c r="I511" s="5" t="s">
        <v>1026</v>
      </c>
      <c r="J511" s="4">
        <v>4830</v>
      </c>
      <c r="K511" s="1">
        <v>43833</v>
      </c>
      <c r="L511" s="1">
        <v>43834</v>
      </c>
      <c r="M511" s="4">
        <v>5</v>
      </c>
      <c r="N511" s="7" cm="1">
        <f t="array" ref="N511">_xlfn.IFS(I511="Dell Inspiron 15",66989,I511="Lenovo IdeaPad Slim 3i",34690,I511="Mi NoteBook Ultra",57999,I511="Samsung Galaxy Go",36990,I511="Acer Aspire 3",38980)</f>
        <v>36990</v>
      </c>
      <c r="O511" s="5" t="s">
        <v>1030</v>
      </c>
    </row>
    <row r="512" spans="1:15" x14ac:dyDescent="0.35">
      <c r="A512" s="4">
        <v>18819</v>
      </c>
      <c r="B512" s="5" t="s">
        <v>433</v>
      </c>
      <c r="C512" s="5" t="s">
        <v>494</v>
      </c>
      <c r="D512" s="5" t="s">
        <v>1032</v>
      </c>
      <c r="E512" s="5" t="s">
        <v>1033</v>
      </c>
      <c r="F512" s="5" t="s">
        <v>1010</v>
      </c>
      <c r="G512" s="3" t="s">
        <v>1015</v>
      </c>
      <c r="H512" s="5" t="s">
        <v>810</v>
      </c>
      <c r="I512" s="5" t="s">
        <v>1027</v>
      </c>
      <c r="J512" s="4">
        <v>5114</v>
      </c>
      <c r="K512" s="1">
        <v>43925</v>
      </c>
      <c r="L512" s="1">
        <v>43927</v>
      </c>
      <c r="M512" s="4">
        <v>1</v>
      </c>
      <c r="N512" s="7" cm="1">
        <f t="array" ref="N512">_xlfn.IFS(I512="Dell Inspiron 15",66989,I512="Lenovo IdeaPad Slim 3i",34690,I512="Mi NoteBook Ultra",57999,I512="Samsung Galaxy Go",36990,I512="Acer Aspire 3",38980)</f>
        <v>38980</v>
      </c>
      <c r="O512" s="5" t="s">
        <v>1030</v>
      </c>
    </row>
    <row r="513" spans="1:15" x14ac:dyDescent="0.35">
      <c r="A513" s="4">
        <v>19323</v>
      </c>
      <c r="B513" s="5" t="s">
        <v>48</v>
      </c>
      <c r="C513" s="5" t="s">
        <v>259</v>
      </c>
      <c r="D513" s="5" t="s">
        <v>1032</v>
      </c>
      <c r="E513" s="5" t="s">
        <v>1034</v>
      </c>
      <c r="F513" s="5" t="s">
        <v>1011</v>
      </c>
      <c r="G513" s="3" t="s">
        <v>1016</v>
      </c>
      <c r="H513" s="5" t="s">
        <v>811</v>
      </c>
      <c r="I513" s="5" t="s">
        <v>1023</v>
      </c>
      <c r="J513" s="4">
        <v>5514</v>
      </c>
      <c r="K513" s="1">
        <v>43925</v>
      </c>
      <c r="L513" s="1">
        <v>43927</v>
      </c>
      <c r="M513" s="4">
        <v>2</v>
      </c>
      <c r="N513" s="7" cm="1">
        <f t="array" ref="N513">_xlfn.IFS(I513="Dell Inspiron 15",66989,I513="Lenovo IdeaPad Slim 3i",34690,I513="Mi NoteBook Ultra",57999,I513="Samsung Galaxy Go",36990,I513="Acer Aspire 3",38980)</f>
        <v>66989</v>
      </c>
      <c r="O513" s="5" t="s">
        <v>1030</v>
      </c>
    </row>
    <row r="514" spans="1:15" x14ac:dyDescent="0.35">
      <c r="A514" s="4">
        <v>20300</v>
      </c>
      <c r="B514" s="5" t="s">
        <v>558</v>
      </c>
      <c r="C514" s="5" t="s">
        <v>415</v>
      </c>
      <c r="D514" s="5" t="s">
        <v>1032</v>
      </c>
      <c r="E514" s="5" t="s">
        <v>1033</v>
      </c>
      <c r="F514" s="5" t="s">
        <v>1010</v>
      </c>
      <c r="G514" s="3" t="s">
        <v>1015</v>
      </c>
      <c r="H514" s="5" t="s">
        <v>812</v>
      </c>
      <c r="I514" s="5" t="s">
        <v>1025</v>
      </c>
      <c r="J514" s="4">
        <v>5452</v>
      </c>
      <c r="K514" s="1">
        <v>43930</v>
      </c>
      <c r="L514" s="1">
        <v>43932</v>
      </c>
      <c r="M514" s="4">
        <v>8</v>
      </c>
      <c r="N514" s="7" cm="1">
        <f t="array" ref="N514">_xlfn.IFS(I514="Dell Inspiron 15",66989,I514="Lenovo IdeaPad Slim 3i",34690,I514="Mi NoteBook Ultra",57999,I514="Samsung Galaxy Go",36990,I514="Acer Aspire 3",38980)</f>
        <v>57999</v>
      </c>
      <c r="O514" s="5" t="s">
        <v>1030</v>
      </c>
    </row>
    <row r="515" spans="1:15" x14ac:dyDescent="0.35">
      <c r="A515" s="4">
        <v>13476</v>
      </c>
      <c r="B515" s="5" t="s">
        <v>731</v>
      </c>
      <c r="C515" s="5" t="s">
        <v>24</v>
      </c>
      <c r="D515" s="5" t="s">
        <v>1032</v>
      </c>
      <c r="E515" s="5" t="s">
        <v>1035</v>
      </c>
      <c r="F515" s="5" t="s">
        <v>1012</v>
      </c>
      <c r="G515" s="3" t="s">
        <v>1017</v>
      </c>
      <c r="H515" s="5" t="s">
        <v>813</v>
      </c>
      <c r="I515" s="5" t="s">
        <v>1027</v>
      </c>
      <c r="J515" s="4">
        <v>5171</v>
      </c>
      <c r="K515" s="1">
        <v>43833</v>
      </c>
      <c r="L515" s="1">
        <v>43834</v>
      </c>
      <c r="M515" s="4">
        <v>9</v>
      </c>
      <c r="N515" s="7" cm="1">
        <f t="array" ref="N515">_xlfn.IFS(I515="Dell Inspiron 15",66989,I515="Lenovo IdeaPad Slim 3i",34690,I515="Mi NoteBook Ultra",57999,I515="Samsung Galaxy Go",36990,I515="Acer Aspire 3",38980)</f>
        <v>38980</v>
      </c>
      <c r="O515" s="5" t="s">
        <v>1030</v>
      </c>
    </row>
    <row r="516" spans="1:15" x14ac:dyDescent="0.35">
      <c r="A516" s="4">
        <v>13736</v>
      </c>
      <c r="B516" s="5" t="s">
        <v>159</v>
      </c>
      <c r="C516" s="5" t="s">
        <v>667</v>
      </c>
      <c r="D516" s="5" t="s">
        <v>1032</v>
      </c>
      <c r="E516" s="5" t="s">
        <v>1035</v>
      </c>
      <c r="F516" s="5" t="s">
        <v>1012</v>
      </c>
      <c r="G516" s="3" t="s">
        <v>1017</v>
      </c>
      <c r="H516" s="5" t="s">
        <v>814</v>
      </c>
      <c r="I516" s="5" t="s">
        <v>1023</v>
      </c>
      <c r="J516" s="4">
        <v>5048</v>
      </c>
      <c r="K516" s="1">
        <v>43925</v>
      </c>
      <c r="L516" s="1">
        <v>43927</v>
      </c>
      <c r="M516" s="4">
        <v>1</v>
      </c>
      <c r="N516" s="7" cm="1">
        <f t="array" ref="N516">_xlfn.IFS(I516="Dell Inspiron 15",66989,I516="Lenovo IdeaPad Slim 3i",34690,I516="Mi NoteBook Ultra",57999,I516="Samsung Galaxy Go",36990,I516="Acer Aspire 3",38980)</f>
        <v>66989</v>
      </c>
      <c r="O516" s="5" t="s">
        <v>1030</v>
      </c>
    </row>
    <row r="517" spans="1:15" x14ac:dyDescent="0.35">
      <c r="A517" s="4">
        <v>21045</v>
      </c>
      <c r="B517" s="5" t="s">
        <v>450</v>
      </c>
      <c r="C517" s="5" t="s">
        <v>12</v>
      </c>
      <c r="D517" s="5" t="s">
        <v>1032</v>
      </c>
      <c r="E517" s="5" t="s">
        <v>1036</v>
      </c>
      <c r="F517" s="5" t="s">
        <v>1013</v>
      </c>
      <c r="G517" s="3" t="s">
        <v>1018</v>
      </c>
      <c r="H517" s="5" t="s">
        <v>815</v>
      </c>
      <c r="I517" s="5" t="s">
        <v>1024</v>
      </c>
      <c r="J517" s="4">
        <v>5295</v>
      </c>
      <c r="K517" s="1">
        <v>43925</v>
      </c>
      <c r="L517" s="1">
        <v>43927</v>
      </c>
      <c r="M517" s="4">
        <v>4</v>
      </c>
      <c r="N517" s="7" cm="1">
        <f t="array" ref="N517">_xlfn.IFS(I517="Dell Inspiron 15",66989,I517="Lenovo IdeaPad Slim 3i",34690,I517="Mi NoteBook Ultra",57999,I517="Samsung Galaxy Go",36990,I517="Acer Aspire 3",38980)</f>
        <v>34690</v>
      </c>
      <c r="O517" s="5" t="s">
        <v>1030</v>
      </c>
    </row>
    <row r="518" spans="1:15" x14ac:dyDescent="0.35">
      <c r="A518" s="4">
        <v>12634</v>
      </c>
      <c r="B518" s="5" t="s">
        <v>433</v>
      </c>
      <c r="C518" s="5" t="s">
        <v>88</v>
      </c>
      <c r="D518" s="5" t="s">
        <v>1032</v>
      </c>
      <c r="E518" s="5" t="s">
        <v>1033</v>
      </c>
      <c r="F518" s="5" t="s">
        <v>1010</v>
      </c>
      <c r="G518" s="3" t="s">
        <v>1015</v>
      </c>
      <c r="H518" s="5" t="s">
        <v>816</v>
      </c>
      <c r="I518" s="5" t="s">
        <v>1026</v>
      </c>
      <c r="J518" s="4">
        <v>5522</v>
      </c>
      <c r="K518" s="1">
        <v>43930</v>
      </c>
      <c r="L518" s="1">
        <v>43932</v>
      </c>
      <c r="M518" s="4">
        <v>3</v>
      </c>
      <c r="N518" s="7" cm="1">
        <f t="array" ref="N518">_xlfn.IFS(I518="Dell Inspiron 15",66989,I518="Lenovo IdeaPad Slim 3i",34690,I518="Mi NoteBook Ultra",57999,I518="Samsung Galaxy Go",36990,I518="Acer Aspire 3",38980)</f>
        <v>36990</v>
      </c>
      <c r="O518" s="5" t="s">
        <v>1030</v>
      </c>
    </row>
    <row r="519" spans="1:15" x14ac:dyDescent="0.35">
      <c r="A519" s="4">
        <v>24312</v>
      </c>
      <c r="B519" s="5" t="s">
        <v>615</v>
      </c>
      <c r="C519" s="5" t="s">
        <v>215</v>
      </c>
      <c r="D519" s="5" t="s">
        <v>1032</v>
      </c>
      <c r="E519" s="5" t="s">
        <v>1034</v>
      </c>
      <c r="F519" s="5" t="s">
        <v>1011</v>
      </c>
      <c r="G519" s="3" t="s">
        <v>1016</v>
      </c>
      <c r="H519" s="5" t="s">
        <v>817</v>
      </c>
      <c r="I519" s="5" t="s">
        <v>1023</v>
      </c>
      <c r="J519" s="4">
        <v>4919</v>
      </c>
      <c r="K519" s="1">
        <v>43842</v>
      </c>
      <c r="L519" s="1">
        <v>43843</v>
      </c>
      <c r="M519" s="4">
        <v>10</v>
      </c>
      <c r="N519" s="7" cm="1">
        <f t="array" ref="N519">_xlfn.IFS(I519="Dell Inspiron 15",66989,I519="Lenovo IdeaPad Slim 3i",34690,I519="Mi NoteBook Ultra",57999,I519="Samsung Galaxy Go",36990,I519="Acer Aspire 3",38980)</f>
        <v>66989</v>
      </c>
      <c r="O519" s="5" t="s">
        <v>1030</v>
      </c>
    </row>
    <row r="520" spans="1:15" x14ac:dyDescent="0.35">
      <c r="A520" s="4">
        <v>21441</v>
      </c>
      <c r="B520" s="5" t="s">
        <v>296</v>
      </c>
      <c r="C520" s="5" t="s">
        <v>415</v>
      </c>
      <c r="D520" s="5" t="s">
        <v>1032</v>
      </c>
      <c r="E520" s="5" t="s">
        <v>1033</v>
      </c>
      <c r="F520" s="5" t="s">
        <v>1010</v>
      </c>
      <c r="G520" s="3" t="s">
        <v>1015</v>
      </c>
      <c r="H520" s="5" t="s">
        <v>818</v>
      </c>
      <c r="I520" s="5" t="s">
        <v>1027</v>
      </c>
      <c r="J520" s="4">
        <v>5135</v>
      </c>
      <c r="K520" s="1">
        <v>43842</v>
      </c>
      <c r="L520" s="1">
        <v>43844</v>
      </c>
      <c r="M520" s="4">
        <v>7</v>
      </c>
      <c r="N520" s="7" cm="1">
        <f t="array" ref="N520">_xlfn.IFS(I520="Dell Inspiron 15",66989,I520="Lenovo IdeaPad Slim 3i",34690,I520="Mi NoteBook Ultra",57999,I520="Samsung Galaxy Go",36990,I520="Acer Aspire 3",38980)</f>
        <v>38980</v>
      </c>
      <c r="O520" s="5" t="s">
        <v>1030</v>
      </c>
    </row>
    <row r="521" spans="1:15" x14ac:dyDescent="0.35">
      <c r="A521" s="4">
        <v>23641</v>
      </c>
      <c r="B521" s="5" t="s">
        <v>674</v>
      </c>
      <c r="C521" s="5" t="s">
        <v>310</v>
      </c>
      <c r="D521" s="5" t="s">
        <v>1032</v>
      </c>
      <c r="E521" s="5" t="s">
        <v>1035</v>
      </c>
      <c r="F521" s="5" t="s">
        <v>1012</v>
      </c>
      <c r="G521" s="3" t="s">
        <v>1017</v>
      </c>
      <c r="H521" s="5" t="s">
        <v>819</v>
      </c>
      <c r="I521" s="5" t="s">
        <v>1025</v>
      </c>
      <c r="J521" s="4">
        <v>4581</v>
      </c>
      <c r="K521" s="1">
        <v>43930</v>
      </c>
      <c r="L521" s="1">
        <v>43931</v>
      </c>
      <c r="M521" s="4">
        <v>4</v>
      </c>
      <c r="N521" s="7" cm="1">
        <f t="array" ref="N521">_xlfn.IFS(I521="Dell Inspiron 15",66989,I521="Lenovo IdeaPad Slim 3i",34690,I521="Mi NoteBook Ultra",57999,I521="Samsung Galaxy Go",36990,I521="Acer Aspire 3",38980)</f>
        <v>57999</v>
      </c>
      <c r="O521" s="5" t="s">
        <v>1030</v>
      </c>
    </row>
    <row r="522" spans="1:15" x14ac:dyDescent="0.35">
      <c r="A522" s="4">
        <v>18810</v>
      </c>
      <c r="B522" s="5" t="s">
        <v>309</v>
      </c>
      <c r="C522" s="5" t="s">
        <v>206</v>
      </c>
      <c r="D522" s="5" t="s">
        <v>1032</v>
      </c>
      <c r="E522" s="5" t="s">
        <v>1035</v>
      </c>
      <c r="F522" s="5" t="s">
        <v>1012</v>
      </c>
      <c r="G522" s="3" t="s">
        <v>1017</v>
      </c>
      <c r="H522" s="5" t="s">
        <v>820</v>
      </c>
      <c r="I522" s="5" t="s">
        <v>1026</v>
      </c>
      <c r="J522" s="4">
        <v>4610</v>
      </c>
      <c r="K522" s="1">
        <v>43857</v>
      </c>
      <c r="L522" s="1">
        <v>43858</v>
      </c>
      <c r="M522" s="4">
        <v>7</v>
      </c>
      <c r="N522" s="7" cm="1">
        <f t="array" ref="N522">_xlfn.IFS(I522="Dell Inspiron 15",66989,I522="Lenovo IdeaPad Slim 3i",34690,I522="Mi NoteBook Ultra",57999,I522="Samsung Galaxy Go",36990,I522="Acer Aspire 3",38980)</f>
        <v>36990</v>
      </c>
      <c r="O522" s="5" t="s">
        <v>1030</v>
      </c>
    </row>
    <row r="523" spans="1:15" x14ac:dyDescent="0.35">
      <c r="A523" s="4">
        <v>17451</v>
      </c>
      <c r="B523" s="5" t="s">
        <v>220</v>
      </c>
      <c r="C523" s="5" t="s">
        <v>86</v>
      </c>
      <c r="D523" s="5" t="s">
        <v>1032</v>
      </c>
      <c r="E523" s="5" t="s">
        <v>1035</v>
      </c>
      <c r="F523" s="5" t="s">
        <v>1012</v>
      </c>
      <c r="G523" s="3" t="s">
        <v>1017</v>
      </c>
      <c r="H523" s="5" t="s">
        <v>821</v>
      </c>
      <c r="I523" s="5" t="s">
        <v>1027</v>
      </c>
      <c r="J523" s="4">
        <v>5046</v>
      </c>
      <c r="K523" s="1">
        <v>43976</v>
      </c>
      <c r="L523" s="1">
        <v>43977</v>
      </c>
      <c r="M523" s="4">
        <v>1</v>
      </c>
      <c r="N523" s="7" cm="1">
        <f t="array" ref="N523">_xlfn.IFS(I523="Dell Inspiron 15",66989,I523="Lenovo IdeaPad Slim 3i",34690,I523="Mi NoteBook Ultra",57999,I523="Samsung Galaxy Go",36990,I523="Acer Aspire 3",38980)</f>
        <v>38980</v>
      </c>
      <c r="O523" s="5" t="s">
        <v>1030</v>
      </c>
    </row>
    <row r="524" spans="1:15" x14ac:dyDescent="0.35">
      <c r="A524" s="4">
        <v>12577</v>
      </c>
      <c r="B524" s="5" t="s">
        <v>170</v>
      </c>
      <c r="C524" s="5" t="s">
        <v>96</v>
      </c>
      <c r="D524" s="5" t="s">
        <v>1032</v>
      </c>
      <c r="E524" s="5" t="s">
        <v>1036</v>
      </c>
      <c r="F524" s="5" t="s">
        <v>1013</v>
      </c>
      <c r="G524" s="3" t="s">
        <v>1018</v>
      </c>
      <c r="H524" s="5" t="s">
        <v>822</v>
      </c>
      <c r="I524" s="5" t="s">
        <v>1023</v>
      </c>
      <c r="J524" s="4">
        <v>4532</v>
      </c>
      <c r="K524" s="1">
        <v>43967</v>
      </c>
      <c r="L524" s="1">
        <v>43968</v>
      </c>
      <c r="M524" s="4">
        <v>10</v>
      </c>
      <c r="N524" s="7" cm="1">
        <f t="array" ref="N524">_xlfn.IFS(I524="Dell Inspiron 15",66989,I524="Lenovo IdeaPad Slim 3i",34690,I524="Mi NoteBook Ultra",57999,I524="Samsung Galaxy Go",36990,I524="Acer Aspire 3",38980)</f>
        <v>66989</v>
      </c>
      <c r="O524" s="5" t="s">
        <v>1030</v>
      </c>
    </row>
    <row r="525" spans="1:15" x14ac:dyDescent="0.35">
      <c r="A525" s="4">
        <v>12798</v>
      </c>
      <c r="B525" s="5" t="s">
        <v>188</v>
      </c>
      <c r="C525" s="5" t="s">
        <v>39</v>
      </c>
      <c r="D525" s="5" t="s">
        <v>1032</v>
      </c>
      <c r="E525" s="5" t="s">
        <v>1035</v>
      </c>
      <c r="F525" s="5" t="s">
        <v>1012</v>
      </c>
      <c r="G525" s="3" t="s">
        <v>1017</v>
      </c>
      <c r="H525" s="5" t="s">
        <v>823</v>
      </c>
      <c r="I525" s="5" t="s">
        <v>1025</v>
      </c>
      <c r="J525" s="4">
        <v>4603</v>
      </c>
      <c r="K525" s="1">
        <v>43967</v>
      </c>
      <c r="L525" s="1">
        <v>43968</v>
      </c>
      <c r="M525" s="4">
        <v>2</v>
      </c>
      <c r="N525" s="7" cm="1">
        <f t="array" ref="N525">_xlfn.IFS(I525="Dell Inspiron 15",66989,I525="Lenovo IdeaPad Slim 3i",34690,I525="Mi NoteBook Ultra",57999,I525="Samsung Galaxy Go",36990,I525="Acer Aspire 3",38980)</f>
        <v>57999</v>
      </c>
      <c r="O525" s="5" t="s">
        <v>1030</v>
      </c>
    </row>
    <row r="526" spans="1:15" x14ac:dyDescent="0.35">
      <c r="A526" s="4">
        <v>25430</v>
      </c>
      <c r="B526" s="5" t="s">
        <v>98</v>
      </c>
      <c r="C526" s="5" t="s">
        <v>360</v>
      </c>
      <c r="D526" s="5" t="s">
        <v>1032</v>
      </c>
      <c r="E526" s="5" t="s">
        <v>1035</v>
      </c>
      <c r="F526" s="5" t="s">
        <v>1012</v>
      </c>
      <c r="G526" s="3" t="s">
        <v>1017</v>
      </c>
      <c r="H526" s="5" t="s">
        <v>824</v>
      </c>
      <c r="I526" s="5" t="s">
        <v>1027</v>
      </c>
      <c r="J526" s="4">
        <v>4728</v>
      </c>
      <c r="K526" s="1">
        <v>43984</v>
      </c>
      <c r="L526" s="1">
        <v>43985</v>
      </c>
      <c r="M526" s="4">
        <v>7</v>
      </c>
      <c r="N526" s="7" cm="1">
        <f t="array" ref="N526">_xlfn.IFS(I526="Dell Inspiron 15",66989,I526="Lenovo IdeaPad Slim 3i",34690,I526="Mi NoteBook Ultra",57999,I526="Samsung Galaxy Go",36990,I526="Acer Aspire 3",38980)</f>
        <v>38980</v>
      </c>
      <c r="O526" s="5" t="s">
        <v>1030</v>
      </c>
    </row>
    <row r="527" spans="1:15" x14ac:dyDescent="0.35">
      <c r="A527" s="4">
        <v>12724</v>
      </c>
      <c r="B527" s="5" t="s">
        <v>362</v>
      </c>
      <c r="C527" s="5" t="s">
        <v>166</v>
      </c>
      <c r="D527" s="5" t="s">
        <v>1032</v>
      </c>
      <c r="E527" s="5" t="s">
        <v>1036</v>
      </c>
      <c r="F527" s="5" t="s">
        <v>1013</v>
      </c>
      <c r="G527" s="3" t="s">
        <v>1018</v>
      </c>
      <c r="H527" s="5" t="s">
        <v>825</v>
      </c>
      <c r="I527" s="5" t="s">
        <v>1023</v>
      </c>
      <c r="J527" s="4">
        <v>5430</v>
      </c>
      <c r="K527" s="1">
        <v>43984</v>
      </c>
      <c r="L527" s="1">
        <v>43985</v>
      </c>
      <c r="M527" s="4">
        <v>8</v>
      </c>
      <c r="N527" s="7" cm="1">
        <f t="array" ref="N527">_xlfn.IFS(I527="Dell Inspiron 15",66989,I527="Lenovo IdeaPad Slim 3i",34690,I527="Mi NoteBook Ultra",57999,I527="Samsung Galaxy Go",36990,I527="Acer Aspire 3",38980)</f>
        <v>66989</v>
      </c>
      <c r="O527" s="5" t="s">
        <v>1030</v>
      </c>
    </row>
    <row r="528" spans="1:15" x14ac:dyDescent="0.35">
      <c r="A528" s="4">
        <v>24157</v>
      </c>
      <c r="B528" s="5" t="s">
        <v>345</v>
      </c>
      <c r="C528" s="5" t="s">
        <v>294</v>
      </c>
      <c r="D528" s="5" t="s">
        <v>1032</v>
      </c>
      <c r="E528" s="5" t="s">
        <v>1036</v>
      </c>
      <c r="F528" s="5" t="s">
        <v>1013</v>
      </c>
      <c r="G528" s="3" t="s">
        <v>1018</v>
      </c>
      <c r="H528" s="5" t="s">
        <v>826</v>
      </c>
      <c r="I528" s="5" t="s">
        <v>1024</v>
      </c>
      <c r="J528" s="4">
        <v>4551</v>
      </c>
      <c r="K528" s="1">
        <v>43845</v>
      </c>
      <c r="L528" s="1">
        <v>43847</v>
      </c>
      <c r="M528" s="4">
        <v>9</v>
      </c>
      <c r="N528" s="7" cm="1">
        <f t="array" ref="N528">_xlfn.IFS(I528="Dell Inspiron 15",66989,I528="Lenovo IdeaPad Slim 3i",34690,I528="Mi NoteBook Ultra",57999,I528="Samsung Galaxy Go",36990,I528="Acer Aspire 3",38980)</f>
        <v>34690</v>
      </c>
      <c r="O528" s="5" t="s">
        <v>1030</v>
      </c>
    </row>
    <row r="529" spans="1:15" x14ac:dyDescent="0.35">
      <c r="A529" s="4">
        <v>14113</v>
      </c>
      <c r="B529" s="5" t="s">
        <v>518</v>
      </c>
      <c r="C529" s="5" t="s">
        <v>284</v>
      </c>
      <c r="D529" s="5" t="s">
        <v>1032</v>
      </c>
      <c r="E529" s="5" t="s">
        <v>1033</v>
      </c>
      <c r="F529" s="5" t="s">
        <v>1010</v>
      </c>
      <c r="G529" s="3" t="s">
        <v>1015</v>
      </c>
      <c r="H529" s="5" t="s">
        <v>827</v>
      </c>
      <c r="I529" s="5" t="s">
        <v>1025</v>
      </c>
      <c r="J529" s="4">
        <v>4820</v>
      </c>
      <c r="K529" s="1">
        <v>43906</v>
      </c>
      <c r="L529" s="1">
        <v>43906</v>
      </c>
      <c r="M529" s="4">
        <v>6</v>
      </c>
      <c r="N529" s="7" cm="1">
        <f t="array" ref="N529">_xlfn.IFS(I529="Dell Inspiron 15",66989,I529="Lenovo IdeaPad Slim 3i",34690,I529="Mi NoteBook Ultra",57999,I529="Samsung Galaxy Go",36990,I529="Acer Aspire 3",38980)</f>
        <v>57999</v>
      </c>
      <c r="O529" s="5" t="s">
        <v>1030</v>
      </c>
    </row>
    <row r="530" spans="1:15" x14ac:dyDescent="0.35">
      <c r="A530" s="4">
        <v>23396</v>
      </c>
      <c r="B530" s="5" t="s">
        <v>261</v>
      </c>
      <c r="C530" s="5" t="s">
        <v>430</v>
      </c>
      <c r="D530" s="5" t="s">
        <v>1032</v>
      </c>
      <c r="E530" s="5" t="s">
        <v>1034</v>
      </c>
      <c r="F530" s="5" t="s">
        <v>1011</v>
      </c>
      <c r="G530" s="3" t="s">
        <v>1016</v>
      </c>
      <c r="H530" s="5" t="s">
        <v>828</v>
      </c>
      <c r="I530" s="5" t="s">
        <v>1026</v>
      </c>
      <c r="J530" s="4">
        <v>5151</v>
      </c>
      <c r="K530" s="1">
        <v>43902</v>
      </c>
      <c r="L530" s="1">
        <v>43903</v>
      </c>
      <c r="M530" s="4">
        <v>2</v>
      </c>
      <c r="N530" s="7" cm="1">
        <f t="array" ref="N530">_xlfn.IFS(I530="Dell Inspiron 15",66989,I530="Lenovo IdeaPad Slim 3i",34690,I530="Mi NoteBook Ultra",57999,I530="Samsung Galaxy Go",36990,I530="Acer Aspire 3",38980)</f>
        <v>36990</v>
      </c>
      <c r="O530" s="5" t="s">
        <v>1030</v>
      </c>
    </row>
    <row r="531" spans="1:15" x14ac:dyDescent="0.35">
      <c r="A531" s="4">
        <v>24764</v>
      </c>
      <c r="B531" s="5" t="s">
        <v>80</v>
      </c>
      <c r="C531" s="5" t="s">
        <v>513</v>
      </c>
      <c r="D531" s="5" t="s">
        <v>1032</v>
      </c>
      <c r="E531" s="5" t="s">
        <v>1033</v>
      </c>
      <c r="F531" s="5" t="s">
        <v>1010</v>
      </c>
      <c r="G531" s="3" t="s">
        <v>1015</v>
      </c>
      <c r="H531" s="5" t="s">
        <v>829</v>
      </c>
      <c r="I531" s="5" t="s">
        <v>1027</v>
      </c>
      <c r="J531" s="4">
        <v>5291</v>
      </c>
      <c r="K531" s="1">
        <v>43944</v>
      </c>
      <c r="L531" s="1">
        <v>43945</v>
      </c>
      <c r="M531" s="4">
        <v>9</v>
      </c>
      <c r="N531" s="7" cm="1">
        <f t="array" ref="N531">_xlfn.IFS(I531="Dell Inspiron 15",66989,I531="Lenovo IdeaPad Slim 3i",34690,I531="Mi NoteBook Ultra",57999,I531="Samsung Galaxy Go",36990,I531="Acer Aspire 3",38980)</f>
        <v>38980</v>
      </c>
      <c r="O531" s="5" t="s">
        <v>1030</v>
      </c>
    </row>
    <row r="532" spans="1:15" x14ac:dyDescent="0.35">
      <c r="A532" s="4">
        <v>16363</v>
      </c>
      <c r="B532" s="5" t="s">
        <v>433</v>
      </c>
      <c r="C532" s="5" t="s">
        <v>106</v>
      </c>
      <c r="D532" s="5" t="s">
        <v>1032</v>
      </c>
      <c r="E532" s="5" t="s">
        <v>1035</v>
      </c>
      <c r="F532" s="5" t="s">
        <v>1012</v>
      </c>
      <c r="G532" s="3" t="s">
        <v>1017</v>
      </c>
      <c r="H532" s="5" t="s">
        <v>830</v>
      </c>
      <c r="I532" s="5" t="s">
        <v>1023</v>
      </c>
      <c r="J532" s="4">
        <v>5516</v>
      </c>
      <c r="K532" s="1">
        <v>43852</v>
      </c>
      <c r="L532" s="1">
        <v>43853</v>
      </c>
      <c r="M532" s="4">
        <v>8</v>
      </c>
      <c r="N532" s="7" cm="1">
        <f t="array" ref="N532">_xlfn.IFS(I532="Dell Inspiron 15",66989,I532="Lenovo IdeaPad Slim 3i",34690,I532="Mi NoteBook Ultra",57999,I532="Samsung Galaxy Go",36990,I532="Acer Aspire 3",38980)</f>
        <v>66989</v>
      </c>
      <c r="O532" s="5" t="s">
        <v>1030</v>
      </c>
    </row>
    <row r="533" spans="1:15" x14ac:dyDescent="0.35">
      <c r="A533" s="4">
        <v>21495</v>
      </c>
      <c r="B533" s="5" t="s">
        <v>314</v>
      </c>
      <c r="C533" s="5" t="s">
        <v>428</v>
      </c>
      <c r="D533" s="5" t="s">
        <v>1032</v>
      </c>
      <c r="E533" s="5" t="s">
        <v>1035</v>
      </c>
      <c r="F533" s="5" t="s">
        <v>1012</v>
      </c>
      <c r="G533" s="3" t="s">
        <v>1017</v>
      </c>
      <c r="H533" s="5" t="s">
        <v>831</v>
      </c>
      <c r="I533" s="5" t="s">
        <v>1025</v>
      </c>
      <c r="J533" s="4">
        <v>4666</v>
      </c>
      <c r="K533" s="1">
        <v>43941</v>
      </c>
      <c r="L533" s="1">
        <v>43943</v>
      </c>
      <c r="M533" s="4">
        <v>1</v>
      </c>
      <c r="N533" s="7" cm="1">
        <f t="array" ref="N533">_xlfn.IFS(I533="Dell Inspiron 15",66989,I533="Lenovo IdeaPad Slim 3i",34690,I533="Mi NoteBook Ultra",57999,I533="Samsung Galaxy Go",36990,I533="Acer Aspire 3",38980)</f>
        <v>57999</v>
      </c>
      <c r="O533" s="5" t="s">
        <v>1030</v>
      </c>
    </row>
    <row r="534" spans="1:15" x14ac:dyDescent="0.35">
      <c r="A534" s="4">
        <v>13403</v>
      </c>
      <c r="B534" s="5" t="s">
        <v>151</v>
      </c>
      <c r="C534" s="5" t="s">
        <v>124</v>
      </c>
      <c r="D534" s="5" t="s">
        <v>1032</v>
      </c>
      <c r="E534" s="5" t="s">
        <v>1036</v>
      </c>
      <c r="F534" s="5" t="s">
        <v>1013</v>
      </c>
      <c r="G534" s="3" t="s">
        <v>1018</v>
      </c>
      <c r="H534" s="5" t="s">
        <v>832</v>
      </c>
      <c r="I534" s="5" t="s">
        <v>1027</v>
      </c>
      <c r="J534" s="4">
        <v>5487</v>
      </c>
      <c r="K534" s="1">
        <v>43845</v>
      </c>
      <c r="L534" s="1">
        <v>43846</v>
      </c>
      <c r="M534" s="4">
        <v>4</v>
      </c>
      <c r="N534" s="7" cm="1">
        <f t="array" ref="N534">_xlfn.IFS(I534="Dell Inspiron 15",66989,I534="Lenovo IdeaPad Slim 3i",34690,I534="Mi NoteBook Ultra",57999,I534="Samsung Galaxy Go",36990,I534="Acer Aspire 3",38980)</f>
        <v>38980</v>
      </c>
      <c r="O534" s="5" t="s">
        <v>1030</v>
      </c>
    </row>
    <row r="535" spans="1:15" x14ac:dyDescent="0.35">
      <c r="A535" s="4">
        <v>18531</v>
      </c>
      <c r="B535" s="5" t="s">
        <v>408</v>
      </c>
      <c r="C535" s="5" t="s">
        <v>619</v>
      </c>
      <c r="D535" s="5" t="s">
        <v>1032</v>
      </c>
      <c r="E535" s="5" t="s">
        <v>1033</v>
      </c>
      <c r="F535" s="5" t="s">
        <v>1010</v>
      </c>
      <c r="G535" s="3" t="s">
        <v>1015</v>
      </c>
      <c r="H535" s="5" t="s">
        <v>833</v>
      </c>
      <c r="I535" s="5" t="s">
        <v>1023</v>
      </c>
      <c r="J535" s="4">
        <v>5456</v>
      </c>
      <c r="K535" s="1">
        <v>43940</v>
      </c>
      <c r="L535" s="1">
        <v>43947</v>
      </c>
      <c r="M535" s="4">
        <v>1</v>
      </c>
      <c r="N535" s="7" cm="1">
        <f t="array" ref="N535">_xlfn.IFS(I535="Dell Inspiron 15",66989,I535="Lenovo IdeaPad Slim 3i",34690,I535="Mi NoteBook Ultra",57999,I535="Samsung Galaxy Go",36990,I535="Acer Aspire 3",38980)</f>
        <v>66989</v>
      </c>
      <c r="O535" s="5" t="s">
        <v>1030</v>
      </c>
    </row>
    <row r="536" spans="1:15" x14ac:dyDescent="0.35">
      <c r="A536" s="4">
        <v>25372</v>
      </c>
      <c r="B536" s="5" t="s">
        <v>413</v>
      </c>
      <c r="C536" s="5" t="s">
        <v>522</v>
      </c>
      <c r="D536" s="5" t="s">
        <v>1032</v>
      </c>
      <c r="E536" s="5" t="s">
        <v>1035</v>
      </c>
      <c r="F536" s="5" t="s">
        <v>1012</v>
      </c>
      <c r="G536" s="3" t="s">
        <v>1017</v>
      </c>
      <c r="H536" s="5" t="s">
        <v>834</v>
      </c>
      <c r="I536" s="5" t="s">
        <v>1024</v>
      </c>
      <c r="J536" s="4">
        <v>5466</v>
      </c>
      <c r="K536" s="1">
        <v>43919</v>
      </c>
      <c r="L536" s="1">
        <v>43922</v>
      </c>
      <c r="M536" s="4">
        <v>2</v>
      </c>
      <c r="N536" s="7" cm="1">
        <f t="array" ref="N536">_xlfn.IFS(I536="Dell Inspiron 15",66989,I536="Lenovo IdeaPad Slim 3i",34690,I536="Mi NoteBook Ultra",57999,I536="Samsung Galaxy Go",36990,I536="Acer Aspire 3",38980)</f>
        <v>34690</v>
      </c>
      <c r="O536" s="5" t="s">
        <v>1030</v>
      </c>
    </row>
    <row r="537" spans="1:15" x14ac:dyDescent="0.35">
      <c r="A537" s="4">
        <v>13197</v>
      </c>
      <c r="B537" s="5" t="s">
        <v>465</v>
      </c>
      <c r="C537" s="5" t="s">
        <v>534</v>
      </c>
      <c r="D537" s="5" t="s">
        <v>1032</v>
      </c>
      <c r="E537" s="5" t="s">
        <v>1036</v>
      </c>
      <c r="F537" s="5" t="s">
        <v>1013</v>
      </c>
      <c r="G537" s="3" t="s">
        <v>1018</v>
      </c>
      <c r="H537" s="5" t="s">
        <v>835</v>
      </c>
      <c r="I537" s="5" t="s">
        <v>1026</v>
      </c>
      <c r="J537" s="4">
        <v>5037</v>
      </c>
      <c r="K537" s="1">
        <v>44000</v>
      </c>
      <c r="L537" s="1">
        <v>44004</v>
      </c>
      <c r="M537" s="4">
        <v>10</v>
      </c>
      <c r="N537" s="7" cm="1">
        <f t="array" ref="N537">_xlfn.IFS(I537="Dell Inspiron 15",66989,I537="Lenovo IdeaPad Slim 3i",34690,I537="Mi NoteBook Ultra",57999,I537="Samsung Galaxy Go",36990,I537="Acer Aspire 3",38980)</f>
        <v>36990</v>
      </c>
      <c r="O537" s="5" t="s">
        <v>1030</v>
      </c>
    </row>
    <row r="538" spans="1:15" x14ac:dyDescent="0.35">
      <c r="A538" s="4">
        <v>23028</v>
      </c>
      <c r="B538" s="5" t="s">
        <v>146</v>
      </c>
      <c r="C538" s="5" t="s">
        <v>78</v>
      </c>
      <c r="D538" s="5" t="s">
        <v>1032</v>
      </c>
      <c r="E538" s="5" t="s">
        <v>1033</v>
      </c>
      <c r="F538" s="5" t="s">
        <v>1010</v>
      </c>
      <c r="G538" s="3" t="s">
        <v>1015</v>
      </c>
      <c r="H538" s="5" t="s">
        <v>836</v>
      </c>
      <c r="I538" s="5" t="s">
        <v>1023</v>
      </c>
      <c r="J538" s="4">
        <v>4966</v>
      </c>
      <c r="K538" s="1">
        <v>43965</v>
      </c>
      <c r="L538" s="1">
        <v>43966</v>
      </c>
      <c r="M538" s="4">
        <v>4</v>
      </c>
      <c r="N538" s="7" cm="1">
        <f t="array" ref="N538">_xlfn.IFS(I538="Dell Inspiron 15",66989,I538="Lenovo IdeaPad Slim 3i",34690,I538="Mi NoteBook Ultra",57999,I538="Samsung Galaxy Go",36990,I538="Acer Aspire 3",38980)</f>
        <v>66989</v>
      </c>
      <c r="O538" s="5" t="s">
        <v>1030</v>
      </c>
    </row>
    <row r="539" spans="1:15" x14ac:dyDescent="0.35">
      <c r="A539" s="4">
        <v>20703</v>
      </c>
      <c r="B539" s="5" t="s">
        <v>365</v>
      </c>
      <c r="C539" s="5" t="s">
        <v>86</v>
      </c>
      <c r="D539" s="5" t="s">
        <v>1032</v>
      </c>
      <c r="E539" s="5" t="s">
        <v>1036</v>
      </c>
      <c r="F539" s="5" t="s">
        <v>1013</v>
      </c>
      <c r="G539" s="3" t="s">
        <v>1018</v>
      </c>
      <c r="H539" s="5" t="s">
        <v>837</v>
      </c>
      <c r="I539" s="5" t="s">
        <v>1027</v>
      </c>
      <c r="J539" s="4">
        <v>5446</v>
      </c>
      <c r="K539" s="1">
        <v>43855</v>
      </c>
      <c r="L539" s="1">
        <v>43856</v>
      </c>
      <c r="M539" s="4">
        <v>9</v>
      </c>
      <c r="N539" s="7" cm="1">
        <f t="array" ref="N539">_xlfn.IFS(I539="Dell Inspiron 15",66989,I539="Lenovo IdeaPad Slim 3i",34690,I539="Mi NoteBook Ultra",57999,I539="Samsung Galaxy Go",36990,I539="Acer Aspire 3",38980)</f>
        <v>38980</v>
      </c>
      <c r="O539" s="5" t="s">
        <v>1030</v>
      </c>
    </row>
    <row r="540" spans="1:15" x14ac:dyDescent="0.35">
      <c r="A540" s="4">
        <v>19490</v>
      </c>
      <c r="B540" s="5" t="s">
        <v>246</v>
      </c>
      <c r="C540" s="5" t="s">
        <v>607</v>
      </c>
      <c r="D540" s="5" t="s">
        <v>1032</v>
      </c>
      <c r="E540" s="5" t="s">
        <v>1033</v>
      </c>
      <c r="F540" s="5" t="s">
        <v>1010</v>
      </c>
      <c r="G540" s="3" t="s">
        <v>1015</v>
      </c>
      <c r="H540" s="5" t="s">
        <v>838</v>
      </c>
      <c r="I540" s="5" t="s">
        <v>1025</v>
      </c>
      <c r="J540" s="4">
        <v>5084</v>
      </c>
      <c r="K540" s="1">
        <v>43832</v>
      </c>
      <c r="L540" s="1">
        <v>43834</v>
      </c>
      <c r="M540" s="4">
        <v>2</v>
      </c>
      <c r="N540" s="7" cm="1">
        <f t="array" ref="N540">_xlfn.IFS(I540="Dell Inspiron 15",66989,I540="Lenovo IdeaPad Slim 3i",34690,I540="Mi NoteBook Ultra",57999,I540="Samsung Galaxy Go",36990,I540="Acer Aspire 3",38980)</f>
        <v>57999</v>
      </c>
      <c r="O540" s="5" t="s">
        <v>1030</v>
      </c>
    </row>
    <row r="541" spans="1:15" x14ac:dyDescent="0.35">
      <c r="A541" s="4">
        <v>16082</v>
      </c>
      <c r="B541" s="5" t="s">
        <v>17</v>
      </c>
      <c r="C541" s="5" t="s">
        <v>21</v>
      </c>
      <c r="D541" s="5" t="s">
        <v>1032</v>
      </c>
      <c r="E541" s="5" t="s">
        <v>1034</v>
      </c>
      <c r="F541" s="5" t="s">
        <v>1011</v>
      </c>
      <c r="G541" s="3" t="s">
        <v>1016</v>
      </c>
      <c r="H541" s="5" t="s">
        <v>839</v>
      </c>
      <c r="I541" s="5" t="s">
        <v>1026</v>
      </c>
      <c r="J541" s="4">
        <v>4818</v>
      </c>
      <c r="K541" s="1">
        <v>43832</v>
      </c>
      <c r="L541" s="1">
        <v>43833</v>
      </c>
      <c r="M541" s="4">
        <v>8</v>
      </c>
      <c r="N541" s="7" cm="1">
        <f t="array" ref="N541">_xlfn.IFS(I541="Dell Inspiron 15",66989,I541="Lenovo IdeaPad Slim 3i",34690,I541="Mi NoteBook Ultra",57999,I541="Samsung Galaxy Go",36990,I541="Acer Aspire 3",38980)</f>
        <v>36990</v>
      </c>
      <c r="O541" s="5" t="s">
        <v>1030</v>
      </c>
    </row>
    <row r="542" spans="1:15" x14ac:dyDescent="0.35">
      <c r="A542" s="4">
        <v>22531</v>
      </c>
      <c r="B542" s="5" t="s">
        <v>739</v>
      </c>
      <c r="C542" s="5" t="s">
        <v>218</v>
      </c>
      <c r="D542" s="5" t="s">
        <v>1032</v>
      </c>
      <c r="E542" s="5" t="s">
        <v>1033</v>
      </c>
      <c r="F542" s="5" t="s">
        <v>1010</v>
      </c>
      <c r="G542" s="3" t="s">
        <v>1015</v>
      </c>
      <c r="H542" s="5" t="s">
        <v>840</v>
      </c>
      <c r="I542" s="5" t="s">
        <v>1027</v>
      </c>
      <c r="J542" s="4">
        <v>5448</v>
      </c>
      <c r="K542" s="1">
        <v>43841</v>
      </c>
      <c r="L542" s="1">
        <v>43848</v>
      </c>
      <c r="M542" s="4">
        <v>9</v>
      </c>
      <c r="N542" s="7" cm="1">
        <f t="array" ref="N542">_xlfn.IFS(I542="Dell Inspiron 15",66989,I542="Lenovo IdeaPad Slim 3i",34690,I542="Mi NoteBook Ultra",57999,I542="Samsung Galaxy Go",36990,I542="Acer Aspire 3",38980)</f>
        <v>38980</v>
      </c>
      <c r="O542" s="5" t="s">
        <v>1030</v>
      </c>
    </row>
    <row r="543" spans="1:15" x14ac:dyDescent="0.35">
      <c r="A543" s="4">
        <v>19272</v>
      </c>
      <c r="B543" s="5" t="s">
        <v>55</v>
      </c>
      <c r="C543" s="5" t="s">
        <v>30</v>
      </c>
      <c r="D543" s="5" t="s">
        <v>1032</v>
      </c>
      <c r="E543" s="5" t="s">
        <v>1035</v>
      </c>
      <c r="F543" s="5" t="s">
        <v>1012</v>
      </c>
      <c r="G543" s="3" t="s">
        <v>1017</v>
      </c>
      <c r="H543" s="5" t="s">
        <v>841</v>
      </c>
      <c r="I543" s="5" t="s">
        <v>1023</v>
      </c>
      <c r="J543" s="4">
        <v>4985</v>
      </c>
      <c r="K543" s="1">
        <v>43833</v>
      </c>
      <c r="L543" s="1">
        <v>43835</v>
      </c>
      <c r="M543" s="4">
        <v>4</v>
      </c>
      <c r="N543" s="7" cm="1">
        <f t="array" ref="N543">_xlfn.IFS(I543="Dell Inspiron 15",66989,I543="Lenovo IdeaPad Slim 3i",34690,I543="Mi NoteBook Ultra",57999,I543="Samsung Galaxy Go",36990,I543="Acer Aspire 3",38980)</f>
        <v>66989</v>
      </c>
      <c r="O543" s="5" t="s">
        <v>1030</v>
      </c>
    </row>
    <row r="544" spans="1:15" x14ac:dyDescent="0.35">
      <c r="A544" s="4">
        <v>12635</v>
      </c>
      <c r="B544" s="5" t="s">
        <v>265</v>
      </c>
      <c r="C544" s="5" t="s">
        <v>430</v>
      </c>
      <c r="D544" s="5" t="s">
        <v>1032</v>
      </c>
      <c r="E544" s="5" t="s">
        <v>1033</v>
      </c>
      <c r="F544" s="5" t="s">
        <v>1010</v>
      </c>
      <c r="G544" s="3" t="s">
        <v>1015</v>
      </c>
      <c r="H544" s="5" t="s">
        <v>842</v>
      </c>
      <c r="I544" s="5" t="s">
        <v>1025</v>
      </c>
      <c r="J544" s="4">
        <v>4649</v>
      </c>
      <c r="K544" s="1">
        <v>43833</v>
      </c>
      <c r="L544" s="1">
        <v>43840</v>
      </c>
      <c r="M544" s="4">
        <v>6</v>
      </c>
      <c r="N544" s="7" cm="1">
        <f t="array" ref="N544">_xlfn.IFS(I544="Dell Inspiron 15",66989,I544="Lenovo IdeaPad Slim 3i",34690,I544="Mi NoteBook Ultra",57999,I544="Samsung Galaxy Go",36990,I544="Acer Aspire 3",38980)</f>
        <v>57999</v>
      </c>
      <c r="O544" s="5" t="s">
        <v>1030</v>
      </c>
    </row>
    <row r="545" spans="1:15" x14ac:dyDescent="0.35">
      <c r="A545" s="4">
        <v>16673</v>
      </c>
      <c r="B545" s="5" t="s">
        <v>537</v>
      </c>
      <c r="C545" s="5" t="s">
        <v>124</v>
      </c>
      <c r="D545" s="5" t="s">
        <v>1032</v>
      </c>
      <c r="E545" s="5" t="s">
        <v>1034</v>
      </c>
      <c r="F545" s="5" t="s">
        <v>1011</v>
      </c>
      <c r="G545" s="3" t="s">
        <v>1016</v>
      </c>
      <c r="H545" s="5" t="s">
        <v>843</v>
      </c>
      <c r="I545" s="5" t="s">
        <v>1027</v>
      </c>
      <c r="J545" s="4">
        <v>5051</v>
      </c>
      <c r="K545" s="1">
        <v>43833</v>
      </c>
      <c r="L545" s="1">
        <v>43837</v>
      </c>
      <c r="M545" s="4">
        <v>1</v>
      </c>
      <c r="N545" s="7" cm="1">
        <f t="array" ref="N545">_xlfn.IFS(I545="Dell Inspiron 15",66989,I545="Lenovo IdeaPad Slim 3i",34690,I545="Mi NoteBook Ultra",57999,I545="Samsung Galaxy Go",36990,I545="Acer Aspire 3",38980)</f>
        <v>38980</v>
      </c>
      <c r="O545" s="5" t="s">
        <v>1030</v>
      </c>
    </row>
    <row r="546" spans="1:15" x14ac:dyDescent="0.35">
      <c r="A546" s="4">
        <v>20570</v>
      </c>
      <c r="B546" s="5" t="s">
        <v>261</v>
      </c>
      <c r="C546" s="5" t="s">
        <v>99</v>
      </c>
      <c r="D546" s="5" t="s">
        <v>1032</v>
      </c>
      <c r="E546" s="5" t="s">
        <v>1033</v>
      </c>
      <c r="F546" s="5" t="s">
        <v>1010</v>
      </c>
      <c r="G546" s="3" t="s">
        <v>1015</v>
      </c>
      <c r="H546" s="5" t="s">
        <v>844</v>
      </c>
      <c r="I546" s="5" t="s">
        <v>1023</v>
      </c>
      <c r="J546" s="4">
        <v>5498</v>
      </c>
      <c r="K546" s="1">
        <v>43934</v>
      </c>
      <c r="L546" s="1">
        <v>43936</v>
      </c>
      <c r="M546" s="4">
        <v>10</v>
      </c>
      <c r="N546" s="7" cm="1">
        <f t="array" ref="N546">_xlfn.IFS(I546="Dell Inspiron 15",66989,I546="Lenovo IdeaPad Slim 3i",34690,I546="Mi NoteBook Ultra",57999,I546="Samsung Galaxy Go",36990,I546="Acer Aspire 3",38980)</f>
        <v>66989</v>
      </c>
      <c r="O546" s="5" t="s">
        <v>1030</v>
      </c>
    </row>
    <row r="547" spans="1:15" x14ac:dyDescent="0.35">
      <c r="A547" s="4">
        <v>15753</v>
      </c>
      <c r="B547" s="5" t="s">
        <v>248</v>
      </c>
      <c r="C547" s="5" t="s">
        <v>348</v>
      </c>
      <c r="D547" s="5" t="s">
        <v>1032</v>
      </c>
      <c r="E547" s="5" t="s">
        <v>1035</v>
      </c>
      <c r="F547" s="5" t="s">
        <v>1012</v>
      </c>
      <c r="G547" s="3" t="s">
        <v>1017</v>
      </c>
      <c r="H547" s="5" t="s">
        <v>845</v>
      </c>
      <c r="I547" s="5" t="s">
        <v>1024</v>
      </c>
      <c r="J547" s="4">
        <v>5389</v>
      </c>
      <c r="K547" s="1">
        <v>43882</v>
      </c>
      <c r="L547" s="1">
        <v>43882</v>
      </c>
      <c r="M547" s="4">
        <v>4</v>
      </c>
      <c r="N547" s="7" cm="1">
        <f t="array" ref="N547">_xlfn.IFS(I547="Dell Inspiron 15",66989,I547="Lenovo IdeaPad Slim 3i",34690,I547="Mi NoteBook Ultra",57999,I547="Samsung Galaxy Go",36990,I547="Acer Aspire 3",38980)</f>
        <v>34690</v>
      </c>
      <c r="O547" s="5" t="s">
        <v>1030</v>
      </c>
    </row>
    <row r="548" spans="1:15" x14ac:dyDescent="0.35">
      <c r="A548" s="4">
        <v>14562</v>
      </c>
      <c r="B548" s="5" t="s">
        <v>77</v>
      </c>
      <c r="C548" s="5" t="s">
        <v>375</v>
      </c>
      <c r="D548" s="5" t="s">
        <v>1032</v>
      </c>
      <c r="E548" s="5" t="s">
        <v>1035</v>
      </c>
      <c r="F548" s="5" t="s">
        <v>1012</v>
      </c>
      <c r="G548" s="3" t="s">
        <v>1017</v>
      </c>
      <c r="H548" s="5" t="s">
        <v>846</v>
      </c>
      <c r="I548" s="5" t="s">
        <v>1023</v>
      </c>
      <c r="J548" s="4">
        <v>5398</v>
      </c>
      <c r="K548" s="1">
        <v>43973</v>
      </c>
      <c r="L548" s="1">
        <v>43974</v>
      </c>
      <c r="M548" s="4">
        <v>1</v>
      </c>
      <c r="N548" s="7" cm="1">
        <f t="array" ref="N548">_xlfn.IFS(I548="Dell Inspiron 15",66989,I548="Lenovo IdeaPad Slim 3i",34690,I548="Mi NoteBook Ultra",57999,I548="Samsung Galaxy Go",36990,I548="Acer Aspire 3",38980)</f>
        <v>66989</v>
      </c>
      <c r="O548" s="5" t="s">
        <v>1030</v>
      </c>
    </row>
    <row r="549" spans="1:15" x14ac:dyDescent="0.35">
      <c r="A549" s="4">
        <v>21554</v>
      </c>
      <c r="B549" s="5" t="s">
        <v>365</v>
      </c>
      <c r="C549" s="5" t="s">
        <v>124</v>
      </c>
      <c r="D549" s="5" t="s">
        <v>1032</v>
      </c>
      <c r="E549" s="5" t="s">
        <v>1035</v>
      </c>
      <c r="F549" s="5" t="s">
        <v>1012</v>
      </c>
      <c r="G549" s="3" t="s">
        <v>1017</v>
      </c>
      <c r="H549" s="5" t="s">
        <v>847</v>
      </c>
      <c r="I549" s="5" t="s">
        <v>1024</v>
      </c>
      <c r="J549" s="4">
        <v>5511</v>
      </c>
      <c r="K549" s="1">
        <v>43882</v>
      </c>
      <c r="L549" s="1">
        <v>43882</v>
      </c>
      <c r="M549" s="4">
        <v>8</v>
      </c>
      <c r="N549" s="7" cm="1">
        <f t="array" ref="N549">_xlfn.IFS(I549="Dell Inspiron 15",66989,I549="Lenovo IdeaPad Slim 3i",34690,I549="Mi NoteBook Ultra",57999,I549="Samsung Galaxy Go",36990,I549="Acer Aspire 3",38980)</f>
        <v>34690</v>
      </c>
      <c r="O549" s="5" t="s">
        <v>1030</v>
      </c>
    </row>
    <row r="550" spans="1:15" x14ac:dyDescent="0.35">
      <c r="A550" s="4">
        <v>23965</v>
      </c>
      <c r="B550" s="5" t="s">
        <v>848</v>
      </c>
      <c r="C550" s="5" t="s">
        <v>108</v>
      </c>
      <c r="D550" s="5" t="s">
        <v>1032</v>
      </c>
      <c r="E550" s="5" t="s">
        <v>1035</v>
      </c>
      <c r="F550" s="5" t="s">
        <v>1012</v>
      </c>
      <c r="G550" s="3" t="s">
        <v>1017</v>
      </c>
      <c r="H550" s="5" t="s">
        <v>849</v>
      </c>
      <c r="I550" s="5" t="s">
        <v>1025</v>
      </c>
      <c r="J550" s="4">
        <v>5516</v>
      </c>
      <c r="K550" s="1">
        <v>43973</v>
      </c>
      <c r="L550" s="1">
        <v>43973</v>
      </c>
      <c r="M550" s="4">
        <v>8</v>
      </c>
      <c r="N550" s="7" cm="1">
        <f t="array" ref="N550">_xlfn.IFS(I550="Dell Inspiron 15",66989,I550="Lenovo IdeaPad Slim 3i",34690,I550="Mi NoteBook Ultra",57999,I550="Samsung Galaxy Go",36990,I550="Acer Aspire 3",38980)</f>
        <v>57999</v>
      </c>
      <c r="O550" s="5" t="s">
        <v>1030</v>
      </c>
    </row>
    <row r="551" spans="1:15" x14ac:dyDescent="0.35">
      <c r="A551" s="4">
        <v>12632</v>
      </c>
      <c r="B551" s="5" t="s">
        <v>186</v>
      </c>
      <c r="C551" s="5" t="s">
        <v>850</v>
      </c>
      <c r="D551" s="5" t="s">
        <v>1032</v>
      </c>
      <c r="E551" s="5" t="s">
        <v>1036</v>
      </c>
      <c r="F551" s="5" t="s">
        <v>1013</v>
      </c>
      <c r="G551" s="3" t="s">
        <v>1018</v>
      </c>
      <c r="H551" s="5" t="s">
        <v>851</v>
      </c>
      <c r="I551" s="5" t="s">
        <v>1026</v>
      </c>
      <c r="J551" s="4">
        <v>5050</v>
      </c>
      <c r="K551" s="1">
        <v>43973</v>
      </c>
      <c r="L551" s="1">
        <v>43974</v>
      </c>
      <c r="M551" s="4">
        <v>1</v>
      </c>
      <c r="N551" s="7" cm="1">
        <f t="array" ref="N551">_xlfn.IFS(I551="Dell Inspiron 15",66989,I551="Lenovo IdeaPad Slim 3i",34690,I551="Mi NoteBook Ultra",57999,I551="Samsung Galaxy Go",36990,I551="Acer Aspire 3",38980)</f>
        <v>36990</v>
      </c>
      <c r="O551" s="5" t="s">
        <v>1030</v>
      </c>
    </row>
    <row r="552" spans="1:15" x14ac:dyDescent="0.35">
      <c r="A552" s="4">
        <v>22789</v>
      </c>
      <c r="B552" s="5" t="s">
        <v>83</v>
      </c>
      <c r="C552" s="5" t="s">
        <v>469</v>
      </c>
      <c r="D552" s="5" t="s">
        <v>1032</v>
      </c>
      <c r="E552" s="5" t="s">
        <v>1033</v>
      </c>
      <c r="F552" s="5" t="s">
        <v>1010</v>
      </c>
      <c r="G552" s="3" t="s">
        <v>1015</v>
      </c>
      <c r="H552" s="5" t="s">
        <v>852</v>
      </c>
      <c r="I552" s="5" t="s">
        <v>1027</v>
      </c>
      <c r="J552" s="4">
        <v>4945</v>
      </c>
      <c r="K552" s="1">
        <v>43873</v>
      </c>
      <c r="L552" s="1">
        <v>43874</v>
      </c>
      <c r="M552" s="4">
        <v>4</v>
      </c>
      <c r="N552" s="7" cm="1">
        <f t="array" ref="N552">_xlfn.IFS(I552="Dell Inspiron 15",66989,I552="Lenovo IdeaPad Slim 3i",34690,I552="Mi NoteBook Ultra",57999,I552="Samsung Galaxy Go",36990,I552="Acer Aspire 3",38980)</f>
        <v>38980</v>
      </c>
      <c r="O552" s="5" t="s">
        <v>1030</v>
      </c>
    </row>
    <row r="553" spans="1:15" x14ac:dyDescent="0.35">
      <c r="A553" s="4">
        <v>24622</v>
      </c>
      <c r="B553" s="5" t="s">
        <v>148</v>
      </c>
      <c r="C553" s="5" t="s">
        <v>142</v>
      </c>
      <c r="D553" s="5" t="s">
        <v>1032</v>
      </c>
      <c r="E553" s="5" t="s">
        <v>1034</v>
      </c>
      <c r="F553" s="5" t="s">
        <v>1011</v>
      </c>
      <c r="G553" s="3" t="s">
        <v>1016</v>
      </c>
      <c r="H553" s="5" t="s">
        <v>853</v>
      </c>
      <c r="I553" s="5" t="s">
        <v>1023</v>
      </c>
      <c r="J553" s="4">
        <v>5029</v>
      </c>
      <c r="K553" s="1">
        <v>43873</v>
      </c>
      <c r="L553" s="1">
        <v>43876</v>
      </c>
      <c r="M553" s="4">
        <v>1</v>
      </c>
      <c r="N553" s="7" cm="1">
        <f t="array" ref="N553">_xlfn.IFS(I553="Dell Inspiron 15",66989,I553="Lenovo IdeaPad Slim 3i",34690,I553="Mi NoteBook Ultra",57999,I553="Samsung Galaxy Go",36990,I553="Acer Aspire 3",38980)</f>
        <v>66989</v>
      </c>
      <c r="O553" s="5" t="s">
        <v>1030</v>
      </c>
    </row>
    <row r="554" spans="1:15" x14ac:dyDescent="0.35">
      <c r="A554" s="4">
        <v>15205</v>
      </c>
      <c r="B554" s="5" t="s">
        <v>848</v>
      </c>
      <c r="C554" s="5" t="s">
        <v>513</v>
      </c>
      <c r="D554" s="5" t="s">
        <v>1032</v>
      </c>
      <c r="E554" s="5" t="s">
        <v>1033</v>
      </c>
      <c r="F554" s="5" t="s">
        <v>1010</v>
      </c>
      <c r="G554" s="3" t="s">
        <v>1015</v>
      </c>
      <c r="H554" s="5" t="s">
        <v>854</v>
      </c>
      <c r="I554" s="5" t="s">
        <v>1025</v>
      </c>
      <c r="J554" s="4">
        <v>5344</v>
      </c>
      <c r="K554" s="1">
        <v>43930</v>
      </c>
      <c r="L554" s="1">
        <v>43932</v>
      </c>
      <c r="M554" s="4">
        <v>2</v>
      </c>
      <c r="N554" s="7" cm="1">
        <f t="array" ref="N554">_xlfn.IFS(I554="Dell Inspiron 15",66989,I554="Lenovo IdeaPad Slim 3i",34690,I554="Mi NoteBook Ultra",57999,I554="Samsung Galaxy Go",36990,I554="Acer Aspire 3",38980)</f>
        <v>57999</v>
      </c>
      <c r="O554" s="5" t="s">
        <v>1030</v>
      </c>
    </row>
    <row r="555" spans="1:15" x14ac:dyDescent="0.35">
      <c r="A555" s="4">
        <v>23895</v>
      </c>
      <c r="B555" s="5" t="s">
        <v>6</v>
      </c>
      <c r="C555" s="5" t="s">
        <v>184</v>
      </c>
      <c r="D555" s="5" t="s">
        <v>1032</v>
      </c>
      <c r="E555" s="5" t="s">
        <v>1035</v>
      </c>
      <c r="F555" s="5" t="s">
        <v>1012</v>
      </c>
      <c r="G555" s="3" t="s">
        <v>1017</v>
      </c>
      <c r="H555" s="5" t="s">
        <v>855</v>
      </c>
      <c r="I555" s="5" t="s">
        <v>1027</v>
      </c>
      <c r="J555" s="4">
        <v>4657</v>
      </c>
      <c r="K555" s="1">
        <v>43930</v>
      </c>
      <c r="L555" s="1">
        <v>43930</v>
      </c>
      <c r="M555" s="4">
        <v>3</v>
      </c>
      <c r="N555" s="7" cm="1">
        <f t="array" ref="N555">_xlfn.IFS(I555="Dell Inspiron 15",66989,I555="Lenovo IdeaPad Slim 3i",34690,I555="Mi NoteBook Ultra",57999,I555="Samsung Galaxy Go",36990,I555="Acer Aspire 3",38980)</f>
        <v>38980</v>
      </c>
      <c r="O555" s="5" t="s">
        <v>1030</v>
      </c>
    </row>
    <row r="556" spans="1:15" x14ac:dyDescent="0.35">
      <c r="A556" s="4">
        <v>21302</v>
      </c>
      <c r="B556" s="5" t="s">
        <v>6</v>
      </c>
      <c r="C556" s="5" t="s">
        <v>301</v>
      </c>
      <c r="D556" s="5" t="s">
        <v>1032</v>
      </c>
      <c r="E556" s="5" t="s">
        <v>1035</v>
      </c>
      <c r="F556" s="5" t="s">
        <v>1012</v>
      </c>
      <c r="G556" s="3" t="s">
        <v>1017</v>
      </c>
      <c r="H556" s="5" t="s">
        <v>856</v>
      </c>
      <c r="I556" s="5" t="s">
        <v>1023</v>
      </c>
      <c r="J556" s="4">
        <v>4593</v>
      </c>
      <c r="K556" s="1">
        <v>43930</v>
      </c>
      <c r="L556" s="1">
        <v>43931</v>
      </c>
      <c r="M556" s="4">
        <v>3</v>
      </c>
      <c r="N556" s="7" cm="1">
        <f t="array" ref="N556">_xlfn.IFS(I556="Dell Inspiron 15",66989,I556="Lenovo IdeaPad Slim 3i",34690,I556="Mi NoteBook Ultra",57999,I556="Samsung Galaxy Go",36990,I556="Acer Aspire 3",38980)</f>
        <v>66989</v>
      </c>
      <c r="O556" s="5" t="s">
        <v>1030</v>
      </c>
    </row>
    <row r="557" spans="1:15" x14ac:dyDescent="0.35">
      <c r="A557" s="4">
        <v>15081</v>
      </c>
      <c r="B557" s="5" t="s">
        <v>131</v>
      </c>
      <c r="C557" s="5" t="s">
        <v>91</v>
      </c>
      <c r="D557" s="5" t="s">
        <v>1032</v>
      </c>
      <c r="E557" s="5" t="s">
        <v>1036</v>
      </c>
      <c r="F557" s="5" t="s">
        <v>1013</v>
      </c>
      <c r="G557" s="3" t="s">
        <v>1018</v>
      </c>
      <c r="H557" s="5" t="s">
        <v>857</v>
      </c>
      <c r="I557" s="5" t="s">
        <v>1024</v>
      </c>
      <c r="J557" s="4">
        <v>5222</v>
      </c>
      <c r="K557" s="1">
        <v>43833</v>
      </c>
      <c r="L557" s="1">
        <v>43835</v>
      </c>
      <c r="M557" s="4">
        <v>6</v>
      </c>
      <c r="N557" s="7" cm="1">
        <f t="array" ref="N557">_xlfn.IFS(I557="Dell Inspiron 15",66989,I557="Lenovo IdeaPad Slim 3i",34690,I557="Mi NoteBook Ultra",57999,I557="Samsung Galaxy Go",36990,I557="Acer Aspire 3",38980)</f>
        <v>34690</v>
      </c>
      <c r="O557" s="5" t="s">
        <v>1030</v>
      </c>
    </row>
    <row r="558" spans="1:15" x14ac:dyDescent="0.35">
      <c r="A558" s="4">
        <v>21533</v>
      </c>
      <c r="B558" s="5" t="s">
        <v>671</v>
      </c>
      <c r="C558" s="5" t="s">
        <v>350</v>
      </c>
      <c r="D558" s="5" t="s">
        <v>1032</v>
      </c>
      <c r="E558" s="5" t="s">
        <v>1033</v>
      </c>
      <c r="F558" s="5" t="s">
        <v>1010</v>
      </c>
      <c r="G558" s="3" t="s">
        <v>1015</v>
      </c>
      <c r="H558" s="5" t="s">
        <v>858</v>
      </c>
      <c r="I558" s="5" t="s">
        <v>1026</v>
      </c>
      <c r="J558" s="4">
        <v>4830</v>
      </c>
      <c r="K558" s="1">
        <v>43920</v>
      </c>
      <c r="L558" s="1">
        <v>43922</v>
      </c>
      <c r="M558" s="4">
        <v>10</v>
      </c>
      <c r="N558" s="7" cm="1">
        <f t="array" ref="N558">_xlfn.IFS(I558="Dell Inspiron 15",66989,I558="Lenovo IdeaPad Slim 3i",34690,I558="Mi NoteBook Ultra",57999,I558="Samsung Galaxy Go",36990,I558="Acer Aspire 3",38980)</f>
        <v>36990</v>
      </c>
      <c r="O558" s="5" t="s">
        <v>1030</v>
      </c>
    </row>
    <row r="559" spans="1:15" x14ac:dyDescent="0.35">
      <c r="A559" s="4">
        <v>13184</v>
      </c>
      <c r="B559" s="5" t="s">
        <v>240</v>
      </c>
      <c r="C559" s="5" t="s">
        <v>426</v>
      </c>
      <c r="D559" s="5" t="s">
        <v>1032</v>
      </c>
      <c r="E559" s="5" t="s">
        <v>1034</v>
      </c>
      <c r="F559" s="5" t="s">
        <v>1011</v>
      </c>
      <c r="G559" s="3" t="s">
        <v>1016</v>
      </c>
      <c r="H559" s="5" t="s">
        <v>859</v>
      </c>
      <c r="I559" s="5" t="s">
        <v>1023</v>
      </c>
      <c r="J559" s="4">
        <v>5363</v>
      </c>
      <c r="K559" s="1">
        <v>43840</v>
      </c>
      <c r="L559" s="1">
        <v>43841</v>
      </c>
      <c r="M559" s="4">
        <v>6</v>
      </c>
      <c r="N559" s="7" cm="1">
        <f t="array" ref="N559">_xlfn.IFS(I559="Dell Inspiron 15",66989,I559="Lenovo IdeaPad Slim 3i",34690,I559="Mi NoteBook Ultra",57999,I559="Samsung Galaxy Go",36990,I559="Acer Aspire 3",38980)</f>
        <v>66989</v>
      </c>
      <c r="O559" s="5" t="s">
        <v>1030</v>
      </c>
    </row>
    <row r="560" spans="1:15" x14ac:dyDescent="0.35">
      <c r="A560" s="4">
        <v>20429</v>
      </c>
      <c r="B560" s="5" t="s">
        <v>314</v>
      </c>
      <c r="C560" s="5" t="s">
        <v>124</v>
      </c>
      <c r="D560" s="5" t="s">
        <v>1032</v>
      </c>
      <c r="E560" s="5" t="s">
        <v>1033</v>
      </c>
      <c r="F560" s="5" t="s">
        <v>1010</v>
      </c>
      <c r="G560" s="3" t="s">
        <v>1015</v>
      </c>
      <c r="H560" s="5" t="s">
        <v>860</v>
      </c>
      <c r="I560" s="5" t="s">
        <v>1027</v>
      </c>
      <c r="J560" s="4">
        <v>4978</v>
      </c>
      <c r="K560" s="1">
        <v>43920</v>
      </c>
      <c r="L560" s="1">
        <v>43922</v>
      </c>
      <c r="M560" s="4">
        <v>8</v>
      </c>
      <c r="N560" s="7" cm="1">
        <f t="array" ref="N560">_xlfn.IFS(I560="Dell Inspiron 15",66989,I560="Lenovo IdeaPad Slim 3i",34690,I560="Mi NoteBook Ultra",57999,I560="Samsung Galaxy Go",36990,I560="Acer Aspire 3",38980)</f>
        <v>38980</v>
      </c>
      <c r="O560" s="5" t="s">
        <v>1030</v>
      </c>
    </row>
    <row r="561" spans="1:15" x14ac:dyDescent="0.35">
      <c r="A561" s="4">
        <v>23700</v>
      </c>
      <c r="B561" s="5" t="s">
        <v>477</v>
      </c>
      <c r="C561" s="5" t="s">
        <v>168</v>
      </c>
      <c r="D561" s="5" t="s">
        <v>1032</v>
      </c>
      <c r="E561" s="5" t="s">
        <v>1035</v>
      </c>
      <c r="F561" s="5" t="s">
        <v>1012</v>
      </c>
      <c r="G561" s="3" t="s">
        <v>1017</v>
      </c>
      <c r="H561" s="5" t="s">
        <v>861</v>
      </c>
      <c r="I561" s="5" t="s">
        <v>1025</v>
      </c>
      <c r="J561" s="4">
        <v>4739</v>
      </c>
      <c r="K561" s="1">
        <v>43923</v>
      </c>
      <c r="L561" s="1">
        <v>43925</v>
      </c>
      <c r="M561" s="4">
        <v>2</v>
      </c>
      <c r="N561" s="7" cm="1">
        <f t="array" ref="N561">_xlfn.IFS(I561="Dell Inspiron 15",66989,I561="Lenovo IdeaPad Slim 3i",34690,I561="Mi NoteBook Ultra",57999,I561="Samsung Galaxy Go",36990,I561="Acer Aspire 3",38980)</f>
        <v>57999</v>
      </c>
      <c r="O561" s="5" t="s">
        <v>1030</v>
      </c>
    </row>
    <row r="562" spans="1:15" x14ac:dyDescent="0.35">
      <c r="A562" s="4">
        <v>13461</v>
      </c>
      <c r="B562" s="5" t="s">
        <v>390</v>
      </c>
      <c r="C562" s="5" t="s">
        <v>665</v>
      </c>
      <c r="D562" s="5" t="s">
        <v>1032</v>
      </c>
      <c r="E562" s="5" t="s">
        <v>1035</v>
      </c>
      <c r="F562" s="5" t="s">
        <v>1012</v>
      </c>
      <c r="G562" s="3" t="s">
        <v>1017</v>
      </c>
      <c r="H562" s="5" t="s">
        <v>862</v>
      </c>
      <c r="I562" s="5" t="s">
        <v>1026</v>
      </c>
      <c r="J562" s="4">
        <v>5357</v>
      </c>
      <c r="K562" s="1">
        <v>43923</v>
      </c>
      <c r="L562" s="1">
        <v>43925</v>
      </c>
      <c r="M562" s="4">
        <v>10</v>
      </c>
      <c r="N562" s="7" cm="1">
        <f t="array" ref="N562">_xlfn.IFS(I562="Dell Inspiron 15",66989,I562="Lenovo IdeaPad Slim 3i",34690,I562="Mi NoteBook Ultra",57999,I562="Samsung Galaxy Go",36990,I562="Acer Aspire 3",38980)</f>
        <v>36990</v>
      </c>
      <c r="O562" s="5" t="s">
        <v>1030</v>
      </c>
    </row>
    <row r="563" spans="1:15" x14ac:dyDescent="0.35">
      <c r="A563" s="4">
        <v>16857</v>
      </c>
      <c r="B563" s="5" t="s">
        <v>173</v>
      </c>
      <c r="C563" s="5" t="s">
        <v>126</v>
      </c>
      <c r="D563" s="5" t="s">
        <v>1032</v>
      </c>
      <c r="E563" s="5" t="s">
        <v>1035</v>
      </c>
      <c r="F563" s="5" t="s">
        <v>1012</v>
      </c>
      <c r="G563" s="3" t="s">
        <v>1017</v>
      </c>
      <c r="H563" s="5" t="s">
        <v>863</v>
      </c>
      <c r="I563" s="5" t="s">
        <v>1027</v>
      </c>
      <c r="J563" s="4">
        <v>5426</v>
      </c>
      <c r="K563" s="1">
        <v>43948</v>
      </c>
      <c r="L563" s="1">
        <v>43949</v>
      </c>
      <c r="M563" s="4">
        <v>4</v>
      </c>
      <c r="N563" s="7" cm="1">
        <f t="array" ref="N563">_xlfn.IFS(I563="Dell Inspiron 15",66989,I563="Lenovo IdeaPad Slim 3i",34690,I563="Mi NoteBook Ultra",57999,I563="Samsung Galaxy Go",36990,I563="Acer Aspire 3",38980)</f>
        <v>38980</v>
      </c>
      <c r="O563" s="5" t="s">
        <v>1030</v>
      </c>
    </row>
    <row r="564" spans="1:15" x14ac:dyDescent="0.35">
      <c r="A564" s="4">
        <v>17001</v>
      </c>
      <c r="B564" s="5" t="s">
        <v>474</v>
      </c>
      <c r="C564" s="5" t="s">
        <v>301</v>
      </c>
      <c r="D564" s="5" t="s">
        <v>1032</v>
      </c>
      <c r="E564" s="5" t="s">
        <v>1035</v>
      </c>
      <c r="F564" s="5" t="s">
        <v>1012</v>
      </c>
      <c r="G564" s="3" t="s">
        <v>1017</v>
      </c>
      <c r="H564" s="5" t="s">
        <v>864</v>
      </c>
      <c r="I564" s="5" t="s">
        <v>1023</v>
      </c>
      <c r="J564" s="4">
        <v>4855</v>
      </c>
      <c r="K564" s="1">
        <v>43846</v>
      </c>
      <c r="L564" s="1">
        <v>43848</v>
      </c>
      <c r="M564" s="4">
        <v>1</v>
      </c>
      <c r="N564" s="7" cm="1">
        <f t="array" ref="N564">_xlfn.IFS(I564="Dell Inspiron 15",66989,I564="Lenovo IdeaPad Slim 3i",34690,I564="Mi NoteBook Ultra",57999,I564="Samsung Galaxy Go",36990,I564="Acer Aspire 3",38980)</f>
        <v>66989</v>
      </c>
      <c r="O564" s="5" t="s">
        <v>1030</v>
      </c>
    </row>
    <row r="565" spans="1:15" x14ac:dyDescent="0.35">
      <c r="A565" s="4">
        <v>19549</v>
      </c>
      <c r="B565" s="5" t="s">
        <v>405</v>
      </c>
      <c r="C565" s="5" t="s">
        <v>45</v>
      </c>
      <c r="D565" s="5" t="s">
        <v>1032</v>
      </c>
      <c r="E565" s="5" t="s">
        <v>1036</v>
      </c>
      <c r="F565" s="5" t="s">
        <v>1013</v>
      </c>
      <c r="G565" s="3" t="s">
        <v>1018</v>
      </c>
      <c r="H565" s="5" t="s">
        <v>865</v>
      </c>
      <c r="I565" s="5" t="s">
        <v>1025</v>
      </c>
      <c r="J565" s="4">
        <v>4700</v>
      </c>
      <c r="K565" s="1">
        <v>43847</v>
      </c>
      <c r="L565" s="1">
        <v>43851</v>
      </c>
      <c r="M565" s="4">
        <v>10</v>
      </c>
      <c r="N565" s="7" cm="1">
        <f t="array" ref="N565">_xlfn.IFS(I565="Dell Inspiron 15",66989,I565="Lenovo IdeaPad Slim 3i",34690,I565="Mi NoteBook Ultra",57999,I565="Samsung Galaxy Go",36990,I565="Acer Aspire 3",38980)</f>
        <v>57999</v>
      </c>
      <c r="O565" s="5" t="s">
        <v>1030</v>
      </c>
    </row>
    <row r="566" spans="1:15" x14ac:dyDescent="0.35">
      <c r="A566" s="4">
        <v>19239</v>
      </c>
      <c r="B566" s="5" t="s">
        <v>248</v>
      </c>
      <c r="C566" s="5" t="s">
        <v>192</v>
      </c>
      <c r="D566" s="5" t="s">
        <v>1032</v>
      </c>
      <c r="E566" s="5" t="s">
        <v>1033</v>
      </c>
      <c r="F566" s="5" t="s">
        <v>1010</v>
      </c>
      <c r="G566" s="3" t="s">
        <v>1015</v>
      </c>
      <c r="H566" s="5" t="s">
        <v>866</v>
      </c>
      <c r="I566" s="5" t="s">
        <v>1027</v>
      </c>
      <c r="J566" s="4">
        <v>5422</v>
      </c>
      <c r="K566" s="1">
        <v>43984</v>
      </c>
      <c r="L566" s="1">
        <v>43984</v>
      </c>
      <c r="M566" s="4">
        <v>2</v>
      </c>
      <c r="N566" s="7" cm="1">
        <f t="array" ref="N566">_xlfn.IFS(I566="Dell Inspiron 15",66989,I566="Lenovo IdeaPad Slim 3i",34690,I566="Mi NoteBook Ultra",57999,I566="Samsung Galaxy Go",36990,I566="Acer Aspire 3",38980)</f>
        <v>38980</v>
      </c>
      <c r="O566" s="5" t="s">
        <v>1030</v>
      </c>
    </row>
    <row r="567" spans="1:15" x14ac:dyDescent="0.35">
      <c r="A567" s="4">
        <v>20271</v>
      </c>
      <c r="B567" s="5" t="s">
        <v>411</v>
      </c>
      <c r="C567" s="5" t="s">
        <v>15</v>
      </c>
      <c r="D567" s="5" t="s">
        <v>1032</v>
      </c>
      <c r="E567" s="5" t="s">
        <v>1034</v>
      </c>
      <c r="F567" s="5" t="s">
        <v>1011</v>
      </c>
      <c r="G567" s="3" t="s">
        <v>1016</v>
      </c>
      <c r="H567" s="5" t="s">
        <v>867</v>
      </c>
      <c r="I567" s="5" t="s">
        <v>1023</v>
      </c>
      <c r="J567" s="4">
        <v>5486</v>
      </c>
      <c r="K567" s="1">
        <v>43984</v>
      </c>
      <c r="L567" s="1">
        <v>43984</v>
      </c>
      <c r="M567" s="4">
        <v>7</v>
      </c>
      <c r="N567" s="7" cm="1">
        <f t="array" ref="N567">_xlfn.IFS(I567="Dell Inspiron 15",66989,I567="Lenovo IdeaPad Slim 3i",34690,I567="Mi NoteBook Ultra",57999,I567="Samsung Galaxy Go",36990,I567="Acer Aspire 3",38980)</f>
        <v>66989</v>
      </c>
      <c r="O567" s="5" t="s">
        <v>1030</v>
      </c>
    </row>
    <row r="568" spans="1:15" x14ac:dyDescent="0.35">
      <c r="A568" s="4">
        <v>24004</v>
      </c>
      <c r="B568" s="5" t="s">
        <v>223</v>
      </c>
      <c r="C568" s="5" t="s">
        <v>385</v>
      </c>
      <c r="D568" s="5" t="s">
        <v>1032</v>
      </c>
      <c r="E568" s="5" t="s">
        <v>1033</v>
      </c>
      <c r="F568" s="5" t="s">
        <v>1010</v>
      </c>
      <c r="G568" s="3" t="s">
        <v>1015</v>
      </c>
      <c r="H568" s="5" t="s">
        <v>868</v>
      </c>
      <c r="I568" s="5" t="s">
        <v>1024</v>
      </c>
      <c r="J568" s="4">
        <v>5028</v>
      </c>
      <c r="K568" s="1">
        <v>43963</v>
      </c>
      <c r="L568" s="1">
        <v>43964</v>
      </c>
      <c r="M568" s="4">
        <v>1</v>
      </c>
      <c r="N568" s="7" cm="1">
        <f t="array" ref="N568">_xlfn.IFS(I568="Dell Inspiron 15",66989,I568="Lenovo IdeaPad Slim 3i",34690,I568="Mi NoteBook Ultra",57999,I568="Samsung Galaxy Go",36990,I568="Acer Aspire 3",38980)</f>
        <v>34690</v>
      </c>
      <c r="O568" s="5" t="s">
        <v>1030</v>
      </c>
    </row>
    <row r="569" spans="1:15" x14ac:dyDescent="0.35">
      <c r="A569" s="4">
        <v>14473</v>
      </c>
      <c r="B569" s="5" t="s">
        <v>377</v>
      </c>
      <c r="C569" s="5" t="s">
        <v>24</v>
      </c>
      <c r="D569" s="5" t="s">
        <v>1032</v>
      </c>
      <c r="E569" s="5" t="s">
        <v>1035</v>
      </c>
      <c r="F569" s="5" t="s">
        <v>1012</v>
      </c>
      <c r="G569" s="3" t="s">
        <v>1017</v>
      </c>
      <c r="H569" s="5" t="s">
        <v>869</v>
      </c>
      <c r="I569" s="5" t="s">
        <v>1025</v>
      </c>
      <c r="J569" s="4">
        <v>5147</v>
      </c>
      <c r="K569" s="1">
        <v>43929</v>
      </c>
      <c r="L569" s="1">
        <v>43930</v>
      </c>
      <c r="M569" s="4">
        <v>4</v>
      </c>
      <c r="N569" s="7" cm="1">
        <f t="array" ref="N569">_xlfn.IFS(I569="Dell Inspiron 15",66989,I569="Lenovo IdeaPad Slim 3i",34690,I569="Mi NoteBook Ultra",57999,I569="Samsung Galaxy Go",36990,I569="Acer Aspire 3",38980)</f>
        <v>57999</v>
      </c>
      <c r="O569" s="5" t="s">
        <v>1030</v>
      </c>
    </row>
    <row r="570" spans="1:15" x14ac:dyDescent="0.35">
      <c r="A570" s="4">
        <v>17625</v>
      </c>
      <c r="B570" s="5" t="s">
        <v>334</v>
      </c>
      <c r="C570" s="5" t="s">
        <v>438</v>
      </c>
      <c r="D570" s="5" t="s">
        <v>1032</v>
      </c>
      <c r="E570" s="5" t="s">
        <v>1035</v>
      </c>
      <c r="F570" s="5" t="s">
        <v>1012</v>
      </c>
      <c r="G570" s="3" t="s">
        <v>1017</v>
      </c>
      <c r="H570" s="5" t="s">
        <v>870</v>
      </c>
      <c r="I570" s="5" t="s">
        <v>1026</v>
      </c>
      <c r="J570" s="4">
        <v>4891</v>
      </c>
      <c r="K570" s="1">
        <v>43979</v>
      </c>
      <c r="L570" s="1">
        <v>43979</v>
      </c>
      <c r="M570" s="4">
        <v>6</v>
      </c>
      <c r="N570" s="7" cm="1">
        <f t="array" ref="N570">_xlfn.IFS(I570="Dell Inspiron 15",66989,I570="Lenovo IdeaPad Slim 3i",34690,I570="Mi NoteBook Ultra",57999,I570="Samsung Galaxy Go",36990,I570="Acer Aspire 3",38980)</f>
        <v>36990</v>
      </c>
      <c r="O570" s="5" t="s">
        <v>1030</v>
      </c>
    </row>
    <row r="571" spans="1:15" x14ac:dyDescent="0.35">
      <c r="A571" s="4">
        <v>16631</v>
      </c>
      <c r="B571" s="5" t="s">
        <v>205</v>
      </c>
      <c r="C571" s="5" t="s">
        <v>647</v>
      </c>
      <c r="D571" s="5" t="s">
        <v>1032</v>
      </c>
      <c r="E571" s="5" t="s">
        <v>1035</v>
      </c>
      <c r="F571" s="5" t="s">
        <v>1012</v>
      </c>
      <c r="G571" s="3" t="s">
        <v>1017</v>
      </c>
      <c r="H571" s="5" t="s">
        <v>871</v>
      </c>
      <c r="I571" s="5" t="s">
        <v>1027</v>
      </c>
      <c r="J571" s="4">
        <v>4750</v>
      </c>
      <c r="K571" s="1">
        <v>43873</v>
      </c>
      <c r="L571" s="1">
        <v>43876</v>
      </c>
      <c r="M571" s="4">
        <v>5</v>
      </c>
      <c r="N571" s="7" cm="1">
        <f t="array" ref="N571">_xlfn.IFS(I571="Dell Inspiron 15",66989,I571="Lenovo IdeaPad Slim 3i",34690,I571="Mi NoteBook Ultra",57999,I571="Samsung Galaxy Go",36990,I571="Acer Aspire 3",38980)</f>
        <v>38980</v>
      </c>
      <c r="O571" s="5" t="s">
        <v>1030</v>
      </c>
    </row>
    <row r="572" spans="1:15" x14ac:dyDescent="0.35">
      <c r="A572" s="4">
        <v>23556</v>
      </c>
      <c r="B572" s="5" t="s">
        <v>227</v>
      </c>
      <c r="C572" s="5" t="s">
        <v>111</v>
      </c>
      <c r="D572" s="5" t="s">
        <v>1032</v>
      </c>
      <c r="E572" s="5" t="s">
        <v>1036</v>
      </c>
      <c r="F572" s="5" t="s">
        <v>1013</v>
      </c>
      <c r="G572" s="3" t="s">
        <v>1018</v>
      </c>
      <c r="H572" s="5" t="s">
        <v>872</v>
      </c>
      <c r="I572" s="5" t="s">
        <v>1023</v>
      </c>
      <c r="J572" s="4">
        <v>5109</v>
      </c>
      <c r="K572" s="1">
        <v>43873</v>
      </c>
      <c r="L572" s="1">
        <v>43875</v>
      </c>
      <c r="M572" s="4">
        <v>7</v>
      </c>
      <c r="N572" s="7" cm="1">
        <f t="array" ref="N572">_xlfn.IFS(I572="Dell Inspiron 15",66989,I572="Lenovo IdeaPad Slim 3i",34690,I572="Mi NoteBook Ultra",57999,I572="Samsung Galaxy Go",36990,I572="Acer Aspire 3",38980)</f>
        <v>66989</v>
      </c>
      <c r="O572" s="5" t="s">
        <v>1030</v>
      </c>
    </row>
    <row r="573" spans="1:15" x14ac:dyDescent="0.35">
      <c r="A573" s="4">
        <v>13466</v>
      </c>
      <c r="B573" s="5" t="s">
        <v>309</v>
      </c>
      <c r="C573" s="5" t="s">
        <v>27</v>
      </c>
      <c r="D573" s="5" t="s">
        <v>1032</v>
      </c>
      <c r="E573" s="5" t="s">
        <v>1035</v>
      </c>
      <c r="F573" s="5" t="s">
        <v>1012</v>
      </c>
      <c r="G573" s="3" t="s">
        <v>1017</v>
      </c>
      <c r="H573" s="5" t="s">
        <v>873</v>
      </c>
      <c r="I573" s="5" t="s">
        <v>1025</v>
      </c>
      <c r="J573" s="4">
        <v>5201</v>
      </c>
      <c r="K573" s="1">
        <v>43966</v>
      </c>
      <c r="L573" s="1">
        <v>43967</v>
      </c>
      <c r="M573" s="4">
        <v>8</v>
      </c>
      <c r="N573" s="7" cm="1">
        <f t="array" ref="N573">_xlfn.IFS(I573="Dell Inspiron 15",66989,I573="Lenovo IdeaPad Slim 3i",34690,I573="Mi NoteBook Ultra",57999,I573="Samsung Galaxy Go",36990,I573="Acer Aspire 3",38980)</f>
        <v>57999</v>
      </c>
      <c r="O573" s="5" t="s">
        <v>1030</v>
      </c>
    </row>
    <row r="574" spans="1:15" x14ac:dyDescent="0.35">
      <c r="A574" s="4">
        <v>19788</v>
      </c>
      <c r="B574" s="5" t="s">
        <v>62</v>
      </c>
      <c r="C574" s="5" t="s">
        <v>284</v>
      </c>
      <c r="D574" s="5" t="s">
        <v>1032</v>
      </c>
      <c r="E574" s="5" t="s">
        <v>1035</v>
      </c>
      <c r="F574" s="5" t="s">
        <v>1012</v>
      </c>
      <c r="G574" s="3" t="s">
        <v>1017</v>
      </c>
      <c r="H574" s="5" t="s">
        <v>874</v>
      </c>
      <c r="I574" s="5" t="s">
        <v>1026</v>
      </c>
      <c r="J574" s="4">
        <v>4984</v>
      </c>
      <c r="K574" s="1">
        <v>43972</v>
      </c>
      <c r="L574" s="1">
        <v>43974</v>
      </c>
      <c r="M574" s="4">
        <v>10</v>
      </c>
      <c r="N574" s="7" cm="1">
        <f t="array" ref="N574">_xlfn.IFS(I574="Dell Inspiron 15",66989,I574="Lenovo IdeaPad Slim 3i",34690,I574="Mi NoteBook Ultra",57999,I574="Samsung Galaxy Go",36990,I574="Acer Aspire 3",38980)</f>
        <v>36990</v>
      </c>
      <c r="O574" s="5" t="s">
        <v>1030</v>
      </c>
    </row>
    <row r="575" spans="1:15" x14ac:dyDescent="0.35">
      <c r="A575" s="4">
        <v>16651</v>
      </c>
      <c r="B575" s="5" t="s">
        <v>646</v>
      </c>
      <c r="C575" s="5" t="s">
        <v>137</v>
      </c>
      <c r="D575" s="5" t="s">
        <v>1032</v>
      </c>
      <c r="E575" s="5" t="s">
        <v>1036</v>
      </c>
      <c r="F575" s="5" t="s">
        <v>1013</v>
      </c>
      <c r="G575" s="3" t="s">
        <v>1018</v>
      </c>
      <c r="H575" s="5" t="s">
        <v>875</v>
      </c>
      <c r="I575" s="5" t="s">
        <v>1027</v>
      </c>
      <c r="J575" s="4">
        <v>4719</v>
      </c>
      <c r="K575" s="1">
        <v>43966</v>
      </c>
      <c r="L575" s="1">
        <v>43967</v>
      </c>
      <c r="M575" s="4">
        <v>4</v>
      </c>
      <c r="N575" s="7" cm="1">
        <f t="array" ref="N575">_xlfn.IFS(I575="Dell Inspiron 15",66989,I575="Lenovo IdeaPad Slim 3i",34690,I575="Mi NoteBook Ultra",57999,I575="Samsung Galaxy Go",36990,I575="Acer Aspire 3",38980)</f>
        <v>38980</v>
      </c>
      <c r="O575" s="5" t="s">
        <v>1030</v>
      </c>
    </row>
    <row r="576" spans="1:15" x14ac:dyDescent="0.35">
      <c r="A576" s="4">
        <v>25676</v>
      </c>
      <c r="B576" s="5" t="s">
        <v>876</v>
      </c>
      <c r="C576" s="5" t="s">
        <v>369</v>
      </c>
      <c r="D576" s="5" t="s">
        <v>1032</v>
      </c>
      <c r="E576" s="5" t="s">
        <v>1036</v>
      </c>
      <c r="F576" s="5" t="s">
        <v>1013</v>
      </c>
      <c r="G576" s="3" t="s">
        <v>1018</v>
      </c>
      <c r="H576" s="5" t="s">
        <v>877</v>
      </c>
      <c r="I576" s="5" t="s">
        <v>1023</v>
      </c>
      <c r="J576" s="4">
        <v>5020</v>
      </c>
      <c r="K576" s="1">
        <v>43972</v>
      </c>
      <c r="L576" s="1">
        <v>43973</v>
      </c>
      <c r="M576" s="4">
        <v>10</v>
      </c>
      <c r="N576" s="7" cm="1">
        <f t="array" ref="N576">_xlfn.IFS(I576="Dell Inspiron 15",66989,I576="Lenovo IdeaPad Slim 3i",34690,I576="Mi NoteBook Ultra",57999,I576="Samsung Galaxy Go",36990,I576="Acer Aspire 3",38980)</f>
        <v>66989</v>
      </c>
      <c r="O576" s="5" t="s">
        <v>1030</v>
      </c>
    </row>
    <row r="577" spans="1:15" x14ac:dyDescent="0.35">
      <c r="A577" s="4">
        <v>24035</v>
      </c>
      <c r="B577" s="5" t="s">
        <v>552</v>
      </c>
      <c r="C577" s="5" t="s">
        <v>135</v>
      </c>
      <c r="D577" s="5" t="s">
        <v>1032</v>
      </c>
      <c r="E577" s="5" t="s">
        <v>1033</v>
      </c>
      <c r="F577" s="5" t="s">
        <v>1010</v>
      </c>
      <c r="G577" s="3" t="s">
        <v>1015</v>
      </c>
      <c r="H577" s="5" t="s">
        <v>878</v>
      </c>
      <c r="I577" s="5" t="s">
        <v>1025</v>
      </c>
      <c r="J577" s="4">
        <v>5052</v>
      </c>
      <c r="K577" s="1">
        <v>43972</v>
      </c>
      <c r="L577" s="1">
        <v>43974</v>
      </c>
      <c r="M577" s="4">
        <v>6</v>
      </c>
      <c r="N577" s="7" cm="1">
        <f t="array" ref="N577">_xlfn.IFS(I577="Dell Inspiron 15",66989,I577="Lenovo IdeaPad Slim 3i",34690,I577="Mi NoteBook Ultra",57999,I577="Samsung Galaxy Go",36990,I577="Acer Aspire 3",38980)</f>
        <v>57999</v>
      </c>
      <c r="O577" s="5" t="s">
        <v>1030</v>
      </c>
    </row>
    <row r="578" spans="1:15" x14ac:dyDescent="0.35">
      <c r="A578" s="4">
        <v>21797</v>
      </c>
      <c r="B578" s="5" t="s">
        <v>371</v>
      </c>
      <c r="C578" s="5" t="s">
        <v>99</v>
      </c>
      <c r="D578" s="5" t="s">
        <v>1032</v>
      </c>
      <c r="E578" s="5" t="s">
        <v>1034</v>
      </c>
      <c r="F578" s="5" t="s">
        <v>1011</v>
      </c>
      <c r="G578" s="3" t="s">
        <v>1016</v>
      </c>
      <c r="H578" s="5" t="s">
        <v>879</v>
      </c>
      <c r="I578" s="5" t="s">
        <v>1027</v>
      </c>
      <c r="J578" s="4">
        <v>5467</v>
      </c>
      <c r="K578" s="1">
        <v>43858</v>
      </c>
      <c r="L578" s="1">
        <v>43859</v>
      </c>
      <c r="M578" s="4">
        <v>2</v>
      </c>
      <c r="N578" s="7" cm="1">
        <f t="array" ref="N578">_xlfn.IFS(I578="Dell Inspiron 15",66989,I578="Lenovo IdeaPad Slim 3i",34690,I578="Mi NoteBook Ultra",57999,I578="Samsung Galaxy Go",36990,I578="Acer Aspire 3",38980)</f>
        <v>38980</v>
      </c>
      <c r="O578" s="5" t="s">
        <v>1030</v>
      </c>
    </row>
    <row r="579" spans="1:15" x14ac:dyDescent="0.35">
      <c r="A579" s="4">
        <v>23111</v>
      </c>
      <c r="B579" s="5" t="s">
        <v>217</v>
      </c>
      <c r="C579" s="5" t="s">
        <v>360</v>
      </c>
      <c r="D579" s="5" t="s">
        <v>1032</v>
      </c>
      <c r="E579" s="5" t="s">
        <v>1033</v>
      </c>
      <c r="F579" s="5" t="s">
        <v>1010</v>
      </c>
      <c r="G579" s="3" t="s">
        <v>1015</v>
      </c>
      <c r="H579" s="5" t="s">
        <v>880</v>
      </c>
      <c r="I579" s="5" t="s">
        <v>1023</v>
      </c>
      <c r="J579" s="4">
        <v>5474</v>
      </c>
      <c r="K579" s="1">
        <v>43858</v>
      </c>
      <c r="L579" s="1">
        <v>43860</v>
      </c>
      <c r="M579" s="4">
        <v>3</v>
      </c>
      <c r="N579" s="7" cm="1">
        <f t="array" ref="N579">_xlfn.IFS(I579="Dell Inspiron 15",66989,I579="Lenovo IdeaPad Slim 3i",34690,I579="Mi NoteBook Ultra",57999,I579="Samsung Galaxy Go",36990,I579="Acer Aspire 3",38980)</f>
        <v>66989</v>
      </c>
      <c r="O579" s="5" t="s">
        <v>1030</v>
      </c>
    </row>
    <row r="580" spans="1:15" x14ac:dyDescent="0.35">
      <c r="A580" s="4">
        <v>14585</v>
      </c>
      <c r="B580" s="5" t="s">
        <v>373</v>
      </c>
      <c r="C580" s="5" t="s">
        <v>108</v>
      </c>
      <c r="D580" s="5" t="s">
        <v>1032</v>
      </c>
      <c r="E580" s="5" t="s">
        <v>1035</v>
      </c>
      <c r="F580" s="5" t="s">
        <v>1012</v>
      </c>
      <c r="G580" s="3" t="s">
        <v>1017</v>
      </c>
      <c r="H580" s="5" t="s">
        <v>881</v>
      </c>
      <c r="I580" s="5" t="s">
        <v>1024</v>
      </c>
      <c r="J580" s="4">
        <v>4939</v>
      </c>
      <c r="K580" s="1">
        <v>43953</v>
      </c>
      <c r="L580" s="1">
        <v>43955</v>
      </c>
      <c r="M580" s="4">
        <v>2</v>
      </c>
      <c r="N580" s="7" cm="1">
        <f t="array" ref="N580">_xlfn.IFS(I580="Dell Inspiron 15",66989,I580="Lenovo IdeaPad Slim 3i",34690,I580="Mi NoteBook Ultra",57999,I580="Samsung Galaxy Go",36990,I580="Acer Aspire 3",38980)</f>
        <v>34690</v>
      </c>
      <c r="O580" s="5" t="s">
        <v>1030</v>
      </c>
    </row>
    <row r="581" spans="1:15" x14ac:dyDescent="0.35">
      <c r="A581" s="4">
        <v>16268</v>
      </c>
      <c r="B581" s="5" t="s">
        <v>347</v>
      </c>
      <c r="C581" s="5" t="s">
        <v>747</v>
      </c>
      <c r="D581" s="5" t="s">
        <v>1032</v>
      </c>
      <c r="E581" s="5" t="s">
        <v>1035</v>
      </c>
      <c r="F581" s="5" t="s">
        <v>1012</v>
      </c>
      <c r="G581" s="3" t="s">
        <v>1017</v>
      </c>
      <c r="H581" s="5" t="s">
        <v>882</v>
      </c>
      <c r="I581" s="5" t="s">
        <v>1026</v>
      </c>
      <c r="J581" s="4">
        <v>4609</v>
      </c>
      <c r="K581" s="1">
        <v>43883</v>
      </c>
      <c r="L581" s="1">
        <v>43884</v>
      </c>
      <c r="M581" s="4">
        <v>5</v>
      </c>
      <c r="N581" s="7" cm="1">
        <f t="array" ref="N581">_xlfn.IFS(I581="Dell Inspiron 15",66989,I581="Lenovo IdeaPad Slim 3i",34690,I581="Mi NoteBook Ultra",57999,I581="Samsung Galaxy Go",36990,I581="Acer Aspire 3",38980)</f>
        <v>36990</v>
      </c>
      <c r="O581" s="5" t="s">
        <v>1030</v>
      </c>
    </row>
    <row r="582" spans="1:15" x14ac:dyDescent="0.35">
      <c r="A582" s="4">
        <v>13669</v>
      </c>
      <c r="B582" s="5" t="s">
        <v>411</v>
      </c>
      <c r="C582" s="5" t="s">
        <v>206</v>
      </c>
      <c r="D582" s="5" t="s">
        <v>1032</v>
      </c>
      <c r="E582" s="5" t="s">
        <v>1036</v>
      </c>
      <c r="F582" s="5" t="s">
        <v>1013</v>
      </c>
      <c r="G582" s="3" t="s">
        <v>1018</v>
      </c>
      <c r="H582" s="5" t="s">
        <v>883</v>
      </c>
      <c r="I582" s="5" t="s">
        <v>1023</v>
      </c>
      <c r="J582" s="4">
        <v>4756</v>
      </c>
      <c r="K582" s="1">
        <v>43917</v>
      </c>
      <c r="L582" s="1">
        <v>43918</v>
      </c>
      <c r="M582" s="4">
        <v>6</v>
      </c>
      <c r="N582" s="7" cm="1">
        <f t="array" ref="N582">_xlfn.IFS(I582="Dell Inspiron 15",66989,I582="Lenovo IdeaPad Slim 3i",34690,I582="Mi NoteBook Ultra",57999,I582="Samsung Galaxy Go",36990,I582="Acer Aspire 3",38980)</f>
        <v>66989</v>
      </c>
      <c r="O582" s="5" t="s">
        <v>1030</v>
      </c>
    </row>
    <row r="583" spans="1:15" x14ac:dyDescent="0.35">
      <c r="A583" s="4">
        <v>14014</v>
      </c>
      <c r="B583" s="5" t="s">
        <v>6</v>
      </c>
      <c r="C583" s="5" t="s">
        <v>297</v>
      </c>
      <c r="D583" s="5" t="s">
        <v>1032</v>
      </c>
      <c r="E583" s="5" t="s">
        <v>1033</v>
      </c>
      <c r="F583" s="5" t="s">
        <v>1010</v>
      </c>
      <c r="G583" s="3" t="s">
        <v>1015</v>
      </c>
      <c r="H583" s="5" t="s">
        <v>884</v>
      </c>
      <c r="I583" s="5" t="s">
        <v>1027</v>
      </c>
      <c r="J583" s="4">
        <v>4830</v>
      </c>
      <c r="K583" s="1">
        <v>43850</v>
      </c>
      <c r="L583" s="1">
        <v>43852</v>
      </c>
      <c r="M583" s="4">
        <v>4</v>
      </c>
      <c r="N583" s="7" cm="1">
        <f t="array" ref="N583">_xlfn.IFS(I583="Dell Inspiron 15",66989,I583="Lenovo IdeaPad Slim 3i",34690,I583="Mi NoteBook Ultra",57999,I583="Samsung Galaxy Go",36990,I583="Acer Aspire 3",38980)</f>
        <v>38980</v>
      </c>
      <c r="O583" s="5" t="s">
        <v>1030</v>
      </c>
    </row>
    <row r="584" spans="1:15" x14ac:dyDescent="0.35">
      <c r="A584" s="4">
        <v>22727</v>
      </c>
      <c r="B584" s="5" t="s">
        <v>258</v>
      </c>
      <c r="C584" s="5" t="s">
        <v>480</v>
      </c>
      <c r="D584" s="5" t="s">
        <v>1032</v>
      </c>
      <c r="E584" s="5" t="s">
        <v>1034</v>
      </c>
      <c r="F584" s="5" t="s">
        <v>1011</v>
      </c>
      <c r="G584" s="3" t="s">
        <v>1016</v>
      </c>
      <c r="H584" s="5" t="s">
        <v>885</v>
      </c>
      <c r="I584" s="5" t="s">
        <v>1025</v>
      </c>
      <c r="J584" s="4">
        <v>5442</v>
      </c>
      <c r="K584" s="1">
        <v>43902</v>
      </c>
      <c r="L584" s="1">
        <v>43909</v>
      </c>
      <c r="M584" s="4">
        <v>3</v>
      </c>
      <c r="N584" s="7" cm="1">
        <f t="array" ref="N584">_xlfn.IFS(I584="Dell Inspiron 15",66989,I584="Lenovo IdeaPad Slim 3i",34690,I584="Mi NoteBook Ultra",57999,I584="Samsung Galaxy Go",36990,I584="Acer Aspire 3",38980)</f>
        <v>57999</v>
      </c>
      <c r="O584" s="5" t="s">
        <v>1030</v>
      </c>
    </row>
    <row r="585" spans="1:15" x14ac:dyDescent="0.35">
      <c r="A585" s="4">
        <v>24963</v>
      </c>
      <c r="B585" s="5" t="s">
        <v>454</v>
      </c>
      <c r="C585" s="5" t="s">
        <v>325</v>
      </c>
      <c r="D585" s="5" t="s">
        <v>1032</v>
      </c>
      <c r="E585" s="5" t="s">
        <v>1033</v>
      </c>
      <c r="F585" s="5" t="s">
        <v>1010</v>
      </c>
      <c r="G585" s="3" t="s">
        <v>1015</v>
      </c>
      <c r="H585" s="5" t="s">
        <v>886</v>
      </c>
      <c r="I585" s="5" t="s">
        <v>1026</v>
      </c>
      <c r="J585" s="4">
        <v>5461</v>
      </c>
      <c r="K585" s="1">
        <v>43997</v>
      </c>
      <c r="L585" s="1">
        <v>43999</v>
      </c>
      <c r="M585" s="4">
        <v>7</v>
      </c>
      <c r="N585" s="7" cm="1">
        <f t="array" ref="N585">_xlfn.IFS(I585="Dell Inspiron 15",66989,I585="Lenovo IdeaPad Slim 3i",34690,I585="Mi NoteBook Ultra",57999,I585="Samsung Galaxy Go",36990,I585="Acer Aspire 3",38980)</f>
        <v>36990</v>
      </c>
      <c r="O585" s="5" t="s">
        <v>1030</v>
      </c>
    </row>
    <row r="586" spans="1:15" x14ac:dyDescent="0.35">
      <c r="A586" s="4">
        <v>18742</v>
      </c>
      <c r="B586" s="5" t="s">
        <v>60</v>
      </c>
      <c r="C586" s="5" t="s">
        <v>430</v>
      </c>
      <c r="D586" s="5" t="s">
        <v>1032</v>
      </c>
      <c r="E586" s="5" t="s">
        <v>1035</v>
      </c>
      <c r="F586" s="5" t="s">
        <v>1012</v>
      </c>
      <c r="G586" s="3" t="s">
        <v>1017</v>
      </c>
      <c r="H586" s="5" t="s">
        <v>887</v>
      </c>
      <c r="I586" s="5" t="s">
        <v>1027</v>
      </c>
      <c r="J586" s="4">
        <v>4760</v>
      </c>
      <c r="K586" s="1">
        <v>43997</v>
      </c>
      <c r="L586" s="1">
        <v>43998</v>
      </c>
      <c r="M586" s="4">
        <v>10</v>
      </c>
      <c r="N586" s="7" cm="1">
        <f t="array" ref="N586">_xlfn.IFS(I586="Dell Inspiron 15",66989,I586="Lenovo IdeaPad Slim 3i",34690,I586="Mi NoteBook Ultra",57999,I586="Samsung Galaxy Go",36990,I586="Acer Aspire 3",38980)</f>
        <v>38980</v>
      </c>
      <c r="O586" s="5" t="s">
        <v>1030</v>
      </c>
    </row>
    <row r="587" spans="1:15" x14ac:dyDescent="0.35">
      <c r="A587" s="4">
        <v>19298</v>
      </c>
      <c r="B587" s="5" t="s">
        <v>223</v>
      </c>
      <c r="C587" s="5" t="s">
        <v>619</v>
      </c>
      <c r="D587" s="5" t="s">
        <v>1032</v>
      </c>
      <c r="E587" s="5" t="s">
        <v>1035</v>
      </c>
      <c r="F587" s="5" t="s">
        <v>1012</v>
      </c>
      <c r="G587" s="3" t="s">
        <v>1017</v>
      </c>
      <c r="H587" s="5" t="s">
        <v>888</v>
      </c>
      <c r="I587" s="5" t="s">
        <v>1023</v>
      </c>
      <c r="J587" s="4">
        <v>4708</v>
      </c>
      <c r="K587" s="1">
        <v>43961</v>
      </c>
      <c r="L587" s="1">
        <v>43962</v>
      </c>
      <c r="M587" s="4">
        <v>6</v>
      </c>
      <c r="N587" s="7" cm="1">
        <f t="array" ref="N587">_xlfn.IFS(I587="Dell Inspiron 15",66989,I587="Lenovo IdeaPad Slim 3i",34690,I587="Mi NoteBook Ultra",57999,I587="Samsung Galaxy Go",36990,I587="Acer Aspire 3",38980)</f>
        <v>66989</v>
      </c>
      <c r="O587" s="5" t="s">
        <v>1030</v>
      </c>
    </row>
    <row r="588" spans="1:15" x14ac:dyDescent="0.35">
      <c r="A588" s="4">
        <v>19856</v>
      </c>
      <c r="B588" s="5" t="s">
        <v>437</v>
      </c>
      <c r="C588" s="5" t="s">
        <v>607</v>
      </c>
      <c r="D588" s="5" t="s">
        <v>1032</v>
      </c>
      <c r="E588" s="5" t="s">
        <v>1036</v>
      </c>
      <c r="F588" s="5" t="s">
        <v>1013</v>
      </c>
      <c r="G588" s="3" t="s">
        <v>1018</v>
      </c>
      <c r="H588" s="5" t="s">
        <v>889</v>
      </c>
      <c r="I588" s="5" t="s">
        <v>1025</v>
      </c>
      <c r="J588" s="4">
        <v>5424</v>
      </c>
      <c r="K588" s="1">
        <v>43954</v>
      </c>
      <c r="L588" s="1">
        <v>43956</v>
      </c>
      <c r="M588" s="4">
        <v>3</v>
      </c>
      <c r="N588" s="7" cm="1">
        <f t="array" ref="N588">_xlfn.IFS(I588="Dell Inspiron 15",66989,I588="Lenovo IdeaPad Slim 3i",34690,I588="Mi NoteBook Ultra",57999,I588="Samsung Galaxy Go",36990,I588="Acer Aspire 3",38980)</f>
        <v>57999</v>
      </c>
      <c r="O588" s="5" t="s">
        <v>1030</v>
      </c>
    </row>
    <row r="589" spans="1:15" x14ac:dyDescent="0.35">
      <c r="A589" s="4">
        <v>16626</v>
      </c>
      <c r="B589" s="5" t="s">
        <v>38</v>
      </c>
      <c r="C589" s="5" t="s">
        <v>111</v>
      </c>
      <c r="D589" s="5" t="s">
        <v>1032</v>
      </c>
      <c r="E589" s="5" t="s">
        <v>1033</v>
      </c>
      <c r="F589" s="5" t="s">
        <v>1010</v>
      </c>
      <c r="G589" s="3" t="s">
        <v>1015</v>
      </c>
      <c r="H589" s="5" t="s">
        <v>890</v>
      </c>
      <c r="I589" s="5" t="s">
        <v>1027</v>
      </c>
      <c r="J589" s="4">
        <v>4801</v>
      </c>
      <c r="K589" s="1">
        <v>43954</v>
      </c>
      <c r="L589" s="1">
        <v>43956</v>
      </c>
      <c r="M589" s="4">
        <v>1</v>
      </c>
      <c r="N589" s="7" cm="1">
        <f t="array" ref="N589">_xlfn.IFS(I589="Dell Inspiron 15",66989,I589="Lenovo IdeaPad Slim 3i",34690,I589="Mi NoteBook Ultra",57999,I589="Samsung Galaxy Go",36990,I589="Acer Aspire 3",38980)</f>
        <v>38980</v>
      </c>
      <c r="O589" s="5" t="s">
        <v>1030</v>
      </c>
    </row>
    <row r="590" spans="1:15" x14ac:dyDescent="0.35">
      <c r="A590" s="4">
        <v>17343</v>
      </c>
      <c r="B590" s="5" t="s">
        <v>261</v>
      </c>
      <c r="C590" s="5" t="s">
        <v>27</v>
      </c>
      <c r="D590" s="5" t="s">
        <v>1032</v>
      </c>
      <c r="E590" s="5" t="s">
        <v>1036</v>
      </c>
      <c r="F590" s="5" t="s">
        <v>1013</v>
      </c>
      <c r="G590" s="3" t="s">
        <v>1018</v>
      </c>
      <c r="H590" s="5" t="s">
        <v>891</v>
      </c>
      <c r="I590" s="5" t="s">
        <v>1023</v>
      </c>
      <c r="J590" s="4">
        <v>5134</v>
      </c>
      <c r="K590" s="1">
        <v>43954</v>
      </c>
      <c r="L590" s="1">
        <v>43955</v>
      </c>
      <c r="M590" s="4">
        <v>9</v>
      </c>
      <c r="N590" s="7" cm="1">
        <f t="array" ref="N590">_xlfn.IFS(I590="Dell Inspiron 15",66989,I590="Lenovo IdeaPad Slim 3i",34690,I590="Mi NoteBook Ultra",57999,I590="Samsung Galaxy Go",36990,I590="Acer Aspire 3",38980)</f>
        <v>66989</v>
      </c>
      <c r="O590" s="5" t="s">
        <v>1030</v>
      </c>
    </row>
    <row r="591" spans="1:15" x14ac:dyDescent="0.35">
      <c r="A591" s="4">
        <v>17012</v>
      </c>
      <c r="B591" s="5" t="s">
        <v>354</v>
      </c>
      <c r="C591" s="5" t="s">
        <v>278</v>
      </c>
      <c r="D591" s="5" t="s">
        <v>1032</v>
      </c>
      <c r="E591" s="5" t="s">
        <v>1033</v>
      </c>
      <c r="F591" s="5" t="s">
        <v>1010</v>
      </c>
      <c r="G591" s="3" t="s">
        <v>1015</v>
      </c>
      <c r="H591" s="5" t="s">
        <v>892</v>
      </c>
      <c r="I591" s="5" t="s">
        <v>1024</v>
      </c>
      <c r="J591" s="4">
        <v>5528</v>
      </c>
      <c r="K591" s="1">
        <v>44004</v>
      </c>
      <c r="L591" s="1">
        <v>44006</v>
      </c>
      <c r="M591" s="4">
        <v>2</v>
      </c>
      <c r="N591" s="7" cm="1">
        <f t="array" ref="N591">_xlfn.IFS(I591="Dell Inspiron 15",66989,I591="Lenovo IdeaPad Slim 3i",34690,I591="Mi NoteBook Ultra",57999,I591="Samsung Galaxy Go",36990,I591="Acer Aspire 3",38980)</f>
        <v>34690</v>
      </c>
      <c r="O591" s="5" t="s">
        <v>1030</v>
      </c>
    </row>
    <row r="592" spans="1:15" x14ac:dyDescent="0.35">
      <c r="A592" s="4">
        <v>19448</v>
      </c>
      <c r="B592" s="5" t="s">
        <v>296</v>
      </c>
      <c r="C592" s="5" t="s">
        <v>307</v>
      </c>
      <c r="D592" s="5" t="s">
        <v>1032</v>
      </c>
      <c r="E592" s="5" t="s">
        <v>1034</v>
      </c>
      <c r="F592" s="5" t="s">
        <v>1011</v>
      </c>
      <c r="G592" s="3" t="s">
        <v>1016</v>
      </c>
      <c r="H592" s="5" t="s">
        <v>893</v>
      </c>
      <c r="I592" s="5" t="s">
        <v>1025</v>
      </c>
      <c r="J592" s="4">
        <v>5492</v>
      </c>
      <c r="K592" s="1">
        <v>43927</v>
      </c>
      <c r="L592" s="1">
        <v>43928</v>
      </c>
      <c r="M592" s="4">
        <v>3</v>
      </c>
      <c r="N592" s="7" cm="1">
        <f t="array" ref="N592">_xlfn.IFS(I592="Dell Inspiron 15",66989,I592="Lenovo IdeaPad Slim 3i",34690,I592="Mi NoteBook Ultra",57999,I592="Samsung Galaxy Go",36990,I592="Acer Aspire 3",38980)</f>
        <v>57999</v>
      </c>
      <c r="O592" s="5" t="s">
        <v>1030</v>
      </c>
    </row>
    <row r="593" spans="1:15" x14ac:dyDescent="0.35">
      <c r="A593" s="4">
        <v>25216</v>
      </c>
      <c r="B593" s="5" t="s">
        <v>38</v>
      </c>
      <c r="C593" s="5" t="s">
        <v>619</v>
      </c>
      <c r="D593" s="5" t="s">
        <v>1032</v>
      </c>
      <c r="E593" s="5" t="s">
        <v>1033</v>
      </c>
      <c r="F593" s="5" t="s">
        <v>1010</v>
      </c>
      <c r="G593" s="3" t="s">
        <v>1015</v>
      </c>
      <c r="H593" s="5" t="s">
        <v>894</v>
      </c>
      <c r="I593" s="5" t="s">
        <v>1026</v>
      </c>
      <c r="J593" s="4">
        <v>5195</v>
      </c>
      <c r="K593" s="1">
        <v>44004</v>
      </c>
      <c r="L593" s="1">
        <v>44006</v>
      </c>
      <c r="M593" s="4">
        <v>1</v>
      </c>
      <c r="N593" s="7" cm="1">
        <f t="array" ref="N593">_xlfn.IFS(I593="Dell Inspiron 15",66989,I593="Lenovo IdeaPad Slim 3i",34690,I593="Mi NoteBook Ultra",57999,I593="Samsung Galaxy Go",36990,I593="Acer Aspire 3",38980)</f>
        <v>36990</v>
      </c>
      <c r="O593" s="5" t="s">
        <v>1030</v>
      </c>
    </row>
    <row r="594" spans="1:15" x14ac:dyDescent="0.35">
      <c r="A594" s="4">
        <v>17682</v>
      </c>
      <c r="B594" s="5" t="s">
        <v>227</v>
      </c>
      <c r="C594" s="5" t="s">
        <v>129</v>
      </c>
      <c r="D594" s="5" t="s">
        <v>1032</v>
      </c>
      <c r="E594" s="5" t="s">
        <v>1035</v>
      </c>
      <c r="F594" s="5" t="s">
        <v>1012</v>
      </c>
      <c r="G594" s="3" t="s">
        <v>1017</v>
      </c>
      <c r="H594" s="5" t="s">
        <v>895</v>
      </c>
      <c r="I594" s="5" t="s">
        <v>1027</v>
      </c>
      <c r="J594" s="4">
        <v>4887</v>
      </c>
      <c r="K594" s="1">
        <v>44004</v>
      </c>
      <c r="L594" s="1">
        <v>44005</v>
      </c>
      <c r="M594" s="4">
        <v>5</v>
      </c>
      <c r="N594" s="7" cm="1">
        <f t="array" ref="N594">_xlfn.IFS(I594="Dell Inspiron 15",66989,I594="Lenovo IdeaPad Slim 3i",34690,I594="Mi NoteBook Ultra",57999,I594="Samsung Galaxy Go",36990,I594="Acer Aspire 3",38980)</f>
        <v>38980</v>
      </c>
      <c r="O594" s="5" t="s">
        <v>1030</v>
      </c>
    </row>
    <row r="595" spans="1:15" x14ac:dyDescent="0.35">
      <c r="A595" s="4">
        <v>18525</v>
      </c>
      <c r="B595" s="5" t="s">
        <v>57</v>
      </c>
      <c r="C595" s="5" t="s">
        <v>45</v>
      </c>
      <c r="D595" s="5" t="s">
        <v>1032</v>
      </c>
      <c r="E595" s="5" t="s">
        <v>1033</v>
      </c>
      <c r="F595" s="5" t="s">
        <v>1010</v>
      </c>
      <c r="G595" s="3" t="s">
        <v>1015</v>
      </c>
      <c r="H595" s="5" t="s">
        <v>896</v>
      </c>
      <c r="I595" s="5" t="s">
        <v>1023</v>
      </c>
      <c r="J595" s="4">
        <v>5386</v>
      </c>
      <c r="K595" s="1">
        <v>43927</v>
      </c>
      <c r="L595" s="1">
        <v>43928</v>
      </c>
      <c r="M595" s="4">
        <v>9</v>
      </c>
      <c r="N595" s="7" cm="1">
        <f t="array" ref="N595">_xlfn.IFS(I595="Dell Inspiron 15",66989,I595="Lenovo IdeaPad Slim 3i",34690,I595="Mi NoteBook Ultra",57999,I595="Samsung Galaxy Go",36990,I595="Acer Aspire 3",38980)</f>
        <v>66989</v>
      </c>
      <c r="O595" s="5" t="s">
        <v>1030</v>
      </c>
    </row>
    <row r="596" spans="1:15" x14ac:dyDescent="0.35">
      <c r="A596" s="4">
        <v>15307</v>
      </c>
      <c r="B596" s="5" t="s">
        <v>702</v>
      </c>
      <c r="C596" s="5" t="s">
        <v>221</v>
      </c>
      <c r="D596" s="5" t="s">
        <v>1032</v>
      </c>
      <c r="E596" s="5" t="s">
        <v>1034</v>
      </c>
      <c r="F596" s="5" t="s">
        <v>1011</v>
      </c>
      <c r="G596" s="3" t="s">
        <v>1016</v>
      </c>
      <c r="H596" s="5" t="s">
        <v>897</v>
      </c>
      <c r="I596" s="5" t="s">
        <v>1025</v>
      </c>
      <c r="J596" s="4">
        <v>5180</v>
      </c>
      <c r="K596" s="1">
        <v>44004</v>
      </c>
      <c r="L596" s="1">
        <v>44005</v>
      </c>
      <c r="M596" s="4">
        <v>4</v>
      </c>
      <c r="N596" s="7" cm="1">
        <f t="array" ref="N596">_xlfn.IFS(I596="Dell Inspiron 15",66989,I596="Lenovo IdeaPad Slim 3i",34690,I596="Mi NoteBook Ultra",57999,I596="Samsung Galaxy Go",36990,I596="Acer Aspire 3",38980)</f>
        <v>57999</v>
      </c>
      <c r="O596" s="5" t="s">
        <v>1030</v>
      </c>
    </row>
    <row r="597" spans="1:15" x14ac:dyDescent="0.35">
      <c r="A597" s="4">
        <v>17902</v>
      </c>
      <c r="B597" s="5" t="s">
        <v>761</v>
      </c>
      <c r="C597" s="5" t="s">
        <v>33</v>
      </c>
      <c r="D597" s="5" t="s">
        <v>1032</v>
      </c>
      <c r="E597" s="5" t="s">
        <v>1033</v>
      </c>
      <c r="F597" s="5" t="s">
        <v>1010</v>
      </c>
      <c r="G597" s="3" t="s">
        <v>1015</v>
      </c>
      <c r="H597" s="5" t="s">
        <v>898</v>
      </c>
      <c r="I597" s="5" t="s">
        <v>1027</v>
      </c>
      <c r="J597" s="4">
        <v>5481</v>
      </c>
      <c r="K597" s="1">
        <v>43833</v>
      </c>
      <c r="L597" s="1">
        <v>43834</v>
      </c>
      <c r="M597" s="4">
        <v>9</v>
      </c>
      <c r="N597" s="7" cm="1">
        <f t="array" ref="N597">_xlfn.IFS(I597="Dell Inspiron 15",66989,I597="Lenovo IdeaPad Slim 3i",34690,I597="Mi NoteBook Ultra",57999,I597="Samsung Galaxy Go",36990,I597="Acer Aspire 3",38980)</f>
        <v>38980</v>
      </c>
      <c r="O597" s="5" t="s">
        <v>1030</v>
      </c>
    </row>
    <row r="598" spans="1:15" x14ac:dyDescent="0.35">
      <c r="A598" s="4">
        <v>16499</v>
      </c>
      <c r="B598" s="5" t="s">
        <v>309</v>
      </c>
      <c r="C598" s="5" t="s">
        <v>307</v>
      </c>
      <c r="D598" s="5" t="s">
        <v>1032</v>
      </c>
      <c r="E598" s="5" t="s">
        <v>1035</v>
      </c>
      <c r="F598" s="5" t="s">
        <v>1012</v>
      </c>
      <c r="G598" s="3" t="s">
        <v>1017</v>
      </c>
      <c r="H598" s="5" t="s">
        <v>899</v>
      </c>
      <c r="I598" s="5" t="s">
        <v>1023</v>
      </c>
      <c r="J598" s="4">
        <v>5443</v>
      </c>
      <c r="K598" s="1">
        <v>43925</v>
      </c>
      <c r="L598" s="1">
        <v>43927</v>
      </c>
      <c r="M598" s="4">
        <v>2</v>
      </c>
      <c r="N598" s="7" cm="1">
        <f t="array" ref="N598">_xlfn.IFS(I598="Dell Inspiron 15",66989,I598="Lenovo IdeaPad Slim 3i",34690,I598="Mi NoteBook Ultra",57999,I598="Samsung Galaxy Go",36990,I598="Acer Aspire 3",38980)</f>
        <v>66989</v>
      </c>
      <c r="O598" s="5" t="s">
        <v>1030</v>
      </c>
    </row>
    <row r="599" spans="1:15" x14ac:dyDescent="0.35">
      <c r="A599" s="4">
        <v>18537</v>
      </c>
      <c r="B599" s="5" t="s">
        <v>20</v>
      </c>
      <c r="C599" s="5" t="s">
        <v>462</v>
      </c>
      <c r="D599" s="5" t="s">
        <v>1032</v>
      </c>
      <c r="E599" s="5" t="s">
        <v>1035</v>
      </c>
      <c r="F599" s="5" t="s">
        <v>1012</v>
      </c>
      <c r="G599" s="3" t="s">
        <v>1017</v>
      </c>
      <c r="H599" s="5" t="s">
        <v>900</v>
      </c>
      <c r="I599" s="5" t="s">
        <v>1024</v>
      </c>
      <c r="J599" s="4">
        <v>5495</v>
      </c>
      <c r="K599" s="1">
        <v>43925</v>
      </c>
      <c r="L599" s="1">
        <v>43927</v>
      </c>
      <c r="M599" s="4">
        <v>6</v>
      </c>
      <c r="N599" s="7" cm="1">
        <f t="array" ref="N599">_xlfn.IFS(I599="Dell Inspiron 15",66989,I599="Lenovo IdeaPad Slim 3i",34690,I599="Mi NoteBook Ultra",57999,I599="Samsung Galaxy Go",36990,I599="Acer Aspire 3",38980)</f>
        <v>34690</v>
      </c>
      <c r="O599" s="5" t="s">
        <v>1030</v>
      </c>
    </row>
    <row r="600" spans="1:15" x14ac:dyDescent="0.35">
      <c r="A600" s="4">
        <v>20303</v>
      </c>
      <c r="B600" s="5" t="s">
        <v>142</v>
      </c>
      <c r="C600" s="5" t="s">
        <v>124</v>
      </c>
      <c r="D600" s="5" t="s">
        <v>1032</v>
      </c>
      <c r="E600" s="5" t="s">
        <v>1035</v>
      </c>
      <c r="F600" s="5" t="s">
        <v>1012</v>
      </c>
      <c r="G600" s="3" t="s">
        <v>1017</v>
      </c>
      <c r="H600" s="5" t="s">
        <v>901</v>
      </c>
      <c r="I600" s="5" t="s">
        <v>1026</v>
      </c>
      <c r="J600" s="4">
        <v>5400</v>
      </c>
      <c r="K600" s="1">
        <v>43930</v>
      </c>
      <c r="L600" s="1">
        <v>43932</v>
      </c>
      <c r="M600" s="4">
        <v>9</v>
      </c>
      <c r="N600" s="7" cm="1">
        <f t="array" ref="N600">_xlfn.IFS(I600="Dell Inspiron 15",66989,I600="Lenovo IdeaPad Slim 3i",34690,I600="Mi NoteBook Ultra",57999,I600="Samsung Galaxy Go",36990,I600="Acer Aspire 3",38980)</f>
        <v>36990</v>
      </c>
      <c r="O600" s="5" t="s">
        <v>1030</v>
      </c>
    </row>
    <row r="601" spans="1:15" x14ac:dyDescent="0.35">
      <c r="A601" s="4">
        <v>18529</v>
      </c>
      <c r="B601" s="5" t="s">
        <v>214</v>
      </c>
      <c r="C601" s="5" t="s">
        <v>33</v>
      </c>
      <c r="D601" s="5" t="s">
        <v>1032</v>
      </c>
      <c r="E601" s="5" t="s">
        <v>1035</v>
      </c>
      <c r="F601" s="5" t="s">
        <v>1012</v>
      </c>
      <c r="G601" s="3" t="s">
        <v>1017</v>
      </c>
      <c r="H601" s="5" t="s">
        <v>902</v>
      </c>
      <c r="I601" s="5" t="s">
        <v>1023</v>
      </c>
      <c r="J601" s="4">
        <v>4575</v>
      </c>
      <c r="K601" s="1">
        <v>43833</v>
      </c>
      <c r="L601" s="1">
        <v>43834</v>
      </c>
      <c r="M601" s="4">
        <v>2</v>
      </c>
      <c r="N601" s="7" cm="1">
        <f t="array" ref="N601">_xlfn.IFS(I601="Dell Inspiron 15",66989,I601="Lenovo IdeaPad Slim 3i",34690,I601="Mi NoteBook Ultra",57999,I601="Samsung Galaxy Go",36990,I601="Acer Aspire 3",38980)</f>
        <v>66989</v>
      </c>
      <c r="O601" s="5" t="s">
        <v>1030</v>
      </c>
    </row>
    <row r="602" spans="1:15" x14ac:dyDescent="0.35">
      <c r="A602" s="4">
        <v>21056</v>
      </c>
      <c r="B602" s="5" t="s">
        <v>159</v>
      </c>
      <c r="C602" s="5" t="s">
        <v>447</v>
      </c>
      <c r="D602" s="5" t="s">
        <v>1032</v>
      </c>
      <c r="E602" s="5" t="s">
        <v>1036</v>
      </c>
      <c r="F602" s="5" t="s">
        <v>1013</v>
      </c>
      <c r="G602" s="3" t="s">
        <v>1018</v>
      </c>
      <c r="H602" s="5" t="s">
        <v>903</v>
      </c>
      <c r="I602" s="5" t="s">
        <v>1027</v>
      </c>
      <c r="J602" s="4">
        <v>5044</v>
      </c>
      <c r="K602" s="1">
        <v>43925</v>
      </c>
      <c r="L602" s="1">
        <v>43927</v>
      </c>
      <c r="M602" s="4">
        <v>5</v>
      </c>
      <c r="N602" s="7" cm="1">
        <f t="array" ref="N602">_xlfn.IFS(I602="Dell Inspiron 15",66989,I602="Lenovo IdeaPad Slim 3i",34690,I602="Mi NoteBook Ultra",57999,I602="Samsung Galaxy Go",36990,I602="Acer Aspire 3",38980)</f>
        <v>38980</v>
      </c>
      <c r="O602" s="5" t="s">
        <v>1030</v>
      </c>
    </row>
    <row r="603" spans="1:15" x14ac:dyDescent="0.35">
      <c r="A603" s="4">
        <v>19299</v>
      </c>
      <c r="B603" s="5" t="s">
        <v>405</v>
      </c>
      <c r="C603" s="5" t="s">
        <v>609</v>
      </c>
      <c r="D603" s="5" t="s">
        <v>1032</v>
      </c>
      <c r="E603" s="5" t="s">
        <v>1033</v>
      </c>
      <c r="F603" s="5" t="s">
        <v>1010</v>
      </c>
      <c r="G603" s="3" t="s">
        <v>1015</v>
      </c>
      <c r="H603" s="5" t="s">
        <v>904</v>
      </c>
      <c r="I603" s="5" t="s">
        <v>1025</v>
      </c>
      <c r="J603" s="4">
        <v>4825</v>
      </c>
      <c r="K603" s="1">
        <v>43925</v>
      </c>
      <c r="L603" s="1">
        <v>43927</v>
      </c>
      <c r="M603" s="4">
        <v>1</v>
      </c>
      <c r="N603" s="7" cm="1">
        <f t="array" ref="N603">_xlfn.IFS(I603="Dell Inspiron 15",66989,I603="Lenovo IdeaPad Slim 3i",34690,I603="Mi NoteBook Ultra",57999,I603="Samsung Galaxy Go",36990,I603="Acer Aspire 3",38980)</f>
        <v>57999</v>
      </c>
      <c r="O603" s="5" t="s">
        <v>1030</v>
      </c>
    </row>
    <row r="604" spans="1:15" x14ac:dyDescent="0.35">
      <c r="A604" s="4">
        <v>20072</v>
      </c>
      <c r="B604" s="5" t="s">
        <v>29</v>
      </c>
      <c r="C604" s="5" t="s">
        <v>78</v>
      </c>
      <c r="D604" s="5" t="s">
        <v>1032</v>
      </c>
      <c r="E604" s="5" t="s">
        <v>1034</v>
      </c>
      <c r="F604" s="5" t="s">
        <v>1011</v>
      </c>
      <c r="G604" s="3" t="s">
        <v>1016</v>
      </c>
      <c r="H604" s="5" t="s">
        <v>905</v>
      </c>
      <c r="I604" s="5" t="s">
        <v>1026</v>
      </c>
      <c r="J604" s="4">
        <v>5342</v>
      </c>
      <c r="K604" s="1">
        <v>43930</v>
      </c>
      <c r="L604" s="1">
        <v>43932</v>
      </c>
      <c r="M604" s="4">
        <v>6</v>
      </c>
      <c r="N604" s="7" cm="1">
        <f t="array" ref="N604">_xlfn.IFS(I604="Dell Inspiron 15",66989,I604="Lenovo IdeaPad Slim 3i",34690,I604="Mi NoteBook Ultra",57999,I604="Samsung Galaxy Go",36990,I604="Acer Aspire 3",38980)</f>
        <v>36990</v>
      </c>
      <c r="O604" s="5" t="s">
        <v>1030</v>
      </c>
    </row>
    <row r="605" spans="1:15" x14ac:dyDescent="0.35">
      <c r="A605" s="4">
        <v>15858</v>
      </c>
      <c r="B605" s="5" t="s">
        <v>83</v>
      </c>
      <c r="C605" s="5" t="s">
        <v>108</v>
      </c>
      <c r="D605" s="5" t="s">
        <v>1032</v>
      </c>
      <c r="E605" s="5" t="s">
        <v>1033</v>
      </c>
      <c r="F605" s="5" t="s">
        <v>1010</v>
      </c>
      <c r="G605" s="3" t="s">
        <v>1015</v>
      </c>
      <c r="H605" s="5" t="s">
        <v>906</v>
      </c>
      <c r="I605" s="5" t="s">
        <v>1027</v>
      </c>
      <c r="J605" s="4">
        <v>4547</v>
      </c>
      <c r="K605" s="1">
        <v>43842</v>
      </c>
      <c r="L605" s="1">
        <v>43843</v>
      </c>
      <c r="M605" s="4">
        <v>9</v>
      </c>
      <c r="N605" s="7" cm="1">
        <f t="array" ref="N605">_xlfn.IFS(I605="Dell Inspiron 15",66989,I605="Lenovo IdeaPad Slim 3i",34690,I605="Mi NoteBook Ultra",57999,I605="Samsung Galaxy Go",36990,I605="Acer Aspire 3",38980)</f>
        <v>38980</v>
      </c>
      <c r="O605" s="5" t="s">
        <v>1030</v>
      </c>
    </row>
    <row r="606" spans="1:15" x14ac:dyDescent="0.35">
      <c r="A606" s="4">
        <v>19746</v>
      </c>
      <c r="B606" s="5" t="s">
        <v>482</v>
      </c>
      <c r="C606" s="5" t="s">
        <v>106</v>
      </c>
      <c r="D606" s="5" t="s">
        <v>1032</v>
      </c>
      <c r="E606" s="5" t="s">
        <v>1035</v>
      </c>
      <c r="F606" s="5" t="s">
        <v>1012</v>
      </c>
      <c r="G606" s="3" t="s">
        <v>1017</v>
      </c>
      <c r="H606" s="5" t="s">
        <v>907</v>
      </c>
      <c r="I606" s="5" t="s">
        <v>1023</v>
      </c>
      <c r="J606" s="4">
        <v>5075</v>
      </c>
      <c r="K606" s="1">
        <v>43842</v>
      </c>
      <c r="L606" s="1">
        <v>43844</v>
      </c>
      <c r="M606" s="4">
        <v>4</v>
      </c>
      <c r="N606" s="7" cm="1">
        <f t="array" ref="N606">_xlfn.IFS(I606="Dell Inspiron 15",66989,I606="Lenovo IdeaPad Slim 3i",34690,I606="Mi NoteBook Ultra",57999,I606="Samsung Galaxy Go",36990,I606="Acer Aspire 3",38980)</f>
        <v>66989</v>
      </c>
      <c r="O606" s="5" t="s">
        <v>1030</v>
      </c>
    </row>
    <row r="607" spans="1:15" x14ac:dyDescent="0.35">
      <c r="A607" s="4">
        <v>13062</v>
      </c>
      <c r="B607" s="5" t="s">
        <v>687</v>
      </c>
      <c r="C607" s="5" t="s">
        <v>317</v>
      </c>
      <c r="D607" s="5" t="s">
        <v>1032</v>
      </c>
      <c r="E607" s="5" t="s">
        <v>1035</v>
      </c>
      <c r="F607" s="5" t="s">
        <v>1012</v>
      </c>
      <c r="G607" s="3" t="s">
        <v>1017</v>
      </c>
      <c r="H607" s="5" t="s">
        <v>908</v>
      </c>
      <c r="I607" s="5" t="s">
        <v>1025</v>
      </c>
      <c r="J607" s="4">
        <v>5442</v>
      </c>
      <c r="K607" s="1">
        <v>43930</v>
      </c>
      <c r="L607" s="1">
        <v>43931</v>
      </c>
      <c r="M607" s="4">
        <v>4</v>
      </c>
      <c r="N607" s="7" cm="1">
        <f t="array" ref="N607">_xlfn.IFS(I607="Dell Inspiron 15",66989,I607="Lenovo IdeaPad Slim 3i",34690,I607="Mi NoteBook Ultra",57999,I607="Samsung Galaxy Go",36990,I607="Acer Aspire 3",38980)</f>
        <v>57999</v>
      </c>
      <c r="O607" s="5" t="s">
        <v>1030</v>
      </c>
    </row>
    <row r="608" spans="1:15" x14ac:dyDescent="0.35">
      <c r="A608" s="4">
        <v>23158</v>
      </c>
      <c r="B608" s="5" t="s">
        <v>275</v>
      </c>
      <c r="C608" s="5" t="s">
        <v>75</v>
      </c>
      <c r="D608" s="5" t="s">
        <v>1032</v>
      </c>
      <c r="E608" s="5" t="s">
        <v>1036</v>
      </c>
      <c r="F608" s="5" t="s">
        <v>1013</v>
      </c>
      <c r="G608" s="3" t="s">
        <v>1018</v>
      </c>
      <c r="H608" s="5" t="s">
        <v>909</v>
      </c>
      <c r="I608" s="5" t="s">
        <v>1027</v>
      </c>
      <c r="J608" s="4">
        <v>5152</v>
      </c>
      <c r="K608" s="1">
        <v>43857</v>
      </c>
      <c r="L608" s="1">
        <v>43858</v>
      </c>
      <c r="M608" s="4">
        <v>2</v>
      </c>
      <c r="N608" s="7" cm="1">
        <f t="array" ref="N608">_xlfn.IFS(I608="Dell Inspiron 15",66989,I608="Lenovo IdeaPad Slim 3i",34690,I608="Mi NoteBook Ultra",57999,I608="Samsung Galaxy Go",36990,I608="Acer Aspire 3",38980)</f>
        <v>38980</v>
      </c>
      <c r="O608" s="5" t="s">
        <v>1030</v>
      </c>
    </row>
    <row r="609" spans="1:15" x14ac:dyDescent="0.35">
      <c r="A609" s="4">
        <v>14510</v>
      </c>
      <c r="B609" s="5" t="s">
        <v>371</v>
      </c>
      <c r="C609" s="5" t="s">
        <v>475</v>
      </c>
      <c r="D609" s="5" t="s">
        <v>1032</v>
      </c>
      <c r="E609" s="5" t="s">
        <v>1033</v>
      </c>
      <c r="F609" s="5" t="s">
        <v>1010</v>
      </c>
      <c r="G609" s="3" t="s">
        <v>1015</v>
      </c>
      <c r="H609" s="5" t="s">
        <v>910</v>
      </c>
      <c r="I609" s="5" t="s">
        <v>1023</v>
      </c>
      <c r="J609" s="4">
        <v>5277</v>
      </c>
      <c r="K609" s="1">
        <v>43976</v>
      </c>
      <c r="L609" s="1">
        <v>43977</v>
      </c>
      <c r="M609" s="4">
        <v>3</v>
      </c>
      <c r="N609" s="7" cm="1">
        <f t="array" ref="N609">_xlfn.IFS(I609="Dell Inspiron 15",66989,I609="Lenovo IdeaPad Slim 3i",34690,I609="Mi NoteBook Ultra",57999,I609="Samsung Galaxy Go",36990,I609="Acer Aspire 3",38980)</f>
        <v>66989</v>
      </c>
      <c r="O609" s="5" t="s">
        <v>1030</v>
      </c>
    </row>
    <row r="610" spans="1:15" x14ac:dyDescent="0.35">
      <c r="A610" s="4">
        <v>23383</v>
      </c>
      <c r="B610" s="5" t="s">
        <v>577</v>
      </c>
      <c r="C610" s="5" t="s">
        <v>694</v>
      </c>
      <c r="D610" s="5" t="s">
        <v>1032</v>
      </c>
      <c r="E610" s="5" t="s">
        <v>1034</v>
      </c>
      <c r="F610" s="5" t="s">
        <v>1011</v>
      </c>
      <c r="G610" s="3" t="s">
        <v>1016</v>
      </c>
      <c r="H610" s="5" t="s">
        <v>911</v>
      </c>
      <c r="I610" s="5" t="s">
        <v>1024</v>
      </c>
      <c r="J610" s="4">
        <v>4900</v>
      </c>
      <c r="K610" s="1">
        <v>43967</v>
      </c>
      <c r="L610" s="1">
        <v>43968</v>
      </c>
      <c r="M610" s="4">
        <v>1</v>
      </c>
      <c r="N610" s="7" cm="1">
        <f t="array" ref="N610">_xlfn.IFS(I610="Dell Inspiron 15",66989,I610="Lenovo IdeaPad Slim 3i",34690,I610="Mi NoteBook Ultra",57999,I610="Samsung Galaxy Go",36990,I610="Acer Aspire 3",38980)</f>
        <v>34690</v>
      </c>
      <c r="O610" s="5" t="s">
        <v>1030</v>
      </c>
    </row>
    <row r="611" spans="1:15" x14ac:dyDescent="0.35">
      <c r="A611" s="4">
        <v>17760</v>
      </c>
      <c r="B611" s="5" t="s">
        <v>35</v>
      </c>
      <c r="C611" s="5" t="s">
        <v>197</v>
      </c>
      <c r="D611" s="5" t="s">
        <v>1032</v>
      </c>
      <c r="E611" s="5" t="s">
        <v>1033</v>
      </c>
      <c r="F611" s="5" t="s">
        <v>1010</v>
      </c>
      <c r="G611" s="3" t="s">
        <v>1015</v>
      </c>
      <c r="H611" s="5" t="s">
        <v>912</v>
      </c>
      <c r="I611" s="5" t="s">
        <v>1023</v>
      </c>
      <c r="J611" s="4">
        <v>5007</v>
      </c>
      <c r="K611" s="1">
        <v>43967</v>
      </c>
      <c r="L611" s="1">
        <v>43968</v>
      </c>
      <c r="M611" s="4">
        <v>4</v>
      </c>
      <c r="N611" s="7" cm="1">
        <f t="array" ref="N611">_xlfn.IFS(I611="Dell Inspiron 15",66989,I611="Lenovo IdeaPad Slim 3i",34690,I611="Mi NoteBook Ultra",57999,I611="Samsung Galaxy Go",36990,I611="Acer Aspire 3",38980)</f>
        <v>66989</v>
      </c>
      <c r="O611" s="5" t="s">
        <v>1030</v>
      </c>
    </row>
    <row r="612" spans="1:15" x14ac:dyDescent="0.35">
      <c r="A612" s="4">
        <v>17642</v>
      </c>
      <c r="B612" s="5" t="s">
        <v>371</v>
      </c>
      <c r="C612" s="5" t="s">
        <v>108</v>
      </c>
      <c r="D612" s="5" t="s">
        <v>1032</v>
      </c>
      <c r="E612" s="5" t="s">
        <v>1035</v>
      </c>
      <c r="F612" s="5" t="s">
        <v>1012</v>
      </c>
      <c r="G612" s="3" t="s">
        <v>1017</v>
      </c>
      <c r="H612" s="5" t="s">
        <v>913</v>
      </c>
      <c r="I612" s="5" t="s">
        <v>1024</v>
      </c>
      <c r="J612" s="4">
        <v>4578</v>
      </c>
      <c r="K612" s="1">
        <v>43984</v>
      </c>
      <c r="L612" s="1">
        <v>43985</v>
      </c>
      <c r="M612" s="4">
        <v>2</v>
      </c>
      <c r="N612" s="7" cm="1">
        <f t="array" ref="N612">_xlfn.IFS(I612="Dell Inspiron 15",66989,I612="Lenovo IdeaPad Slim 3i",34690,I612="Mi NoteBook Ultra",57999,I612="Samsung Galaxy Go",36990,I612="Acer Aspire 3",38980)</f>
        <v>34690</v>
      </c>
      <c r="O612" s="5" t="s">
        <v>1030</v>
      </c>
    </row>
    <row r="613" spans="1:15" x14ac:dyDescent="0.35">
      <c r="A613" s="4">
        <v>20055</v>
      </c>
      <c r="B613" s="5" t="s">
        <v>392</v>
      </c>
      <c r="C613" s="5" t="s">
        <v>184</v>
      </c>
      <c r="D613" s="5" t="s">
        <v>1032</v>
      </c>
      <c r="E613" s="5" t="s">
        <v>1035</v>
      </c>
      <c r="F613" s="5" t="s">
        <v>1012</v>
      </c>
      <c r="G613" s="3" t="s">
        <v>1017</v>
      </c>
      <c r="H613" s="5" t="s">
        <v>914</v>
      </c>
      <c r="I613" s="5" t="s">
        <v>1025</v>
      </c>
      <c r="J613" s="4">
        <v>5168</v>
      </c>
      <c r="K613" s="1">
        <v>43984</v>
      </c>
      <c r="L613" s="1">
        <v>43985</v>
      </c>
      <c r="M613" s="4">
        <v>6</v>
      </c>
      <c r="N613" s="7" cm="1">
        <f t="array" ref="N613">_xlfn.IFS(I613="Dell Inspiron 15",66989,I613="Lenovo IdeaPad Slim 3i",34690,I613="Mi NoteBook Ultra",57999,I613="Samsung Galaxy Go",36990,I613="Acer Aspire 3",38980)</f>
        <v>57999</v>
      </c>
      <c r="O613" s="5" t="s">
        <v>1030</v>
      </c>
    </row>
    <row r="614" spans="1:15" x14ac:dyDescent="0.35">
      <c r="A614" s="4">
        <v>12706</v>
      </c>
      <c r="B614" s="5" t="s">
        <v>435</v>
      </c>
      <c r="C614" s="5" t="s">
        <v>430</v>
      </c>
      <c r="D614" s="5" t="s">
        <v>1032</v>
      </c>
      <c r="E614" s="5" t="s">
        <v>1035</v>
      </c>
      <c r="F614" s="5" t="s">
        <v>1012</v>
      </c>
      <c r="G614" s="3" t="s">
        <v>1017</v>
      </c>
      <c r="H614" s="5" t="s">
        <v>915</v>
      </c>
      <c r="I614" s="5" t="s">
        <v>1026</v>
      </c>
      <c r="J614" s="4">
        <v>4763</v>
      </c>
      <c r="K614" s="1">
        <v>43845</v>
      </c>
      <c r="L614" s="1">
        <v>43847</v>
      </c>
      <c r="M614" s="4">
        <v>6</v>
      </c>
      <c r="N614" s="7" cm="1">
        <f t="array" ref="N614">_xlfn.IFS(I614="Dell Inspiron 15",66989,I614="Lenovo IdeaPad Slim 3i",34690,I614="Mi NoteBook Ultra",57999,I614="Samsung Galaxy Go",36990,I614="Acer Aspire 3",38980)</f>
        <v>36990</v>
      </c>
      <c r="O614" s="5" t="s">
        <v>1030</v>
      </c>
    </row>
    <row r="615" spans="1:15" x14ac:dyDescent="0.35">
      <c r="A615" s="4">
        <v>14458</v>
      </c>
      <c r="B615" s="5" t="s">
        <v>530</v>
      </c>
      <c r="C615" s="5" t="s">
        <v>472</v>
      </c>
      <c r="D615" s="5" t="s">
        <v>1032</v>
      </c>
      <c r="E615" s="5" t="s">
        <v>1036</v>
      </c>
      <c r="F615" s="5" t="s">
        <v>1013</v>
      </c>
      <c r="G615" s="3" t="s">
        <v>1018</v>
      </c>
      <c r="H615" s="5" t="s">
        <v>916</v>
      </c>
      <c r="I615" s="5" t="s">
        <v>1027</v>
      </c>
      <c r="J615" s="4">
        <v>4532</v>
      </c>
      <c r="K615" s="1">
        <v>43906</v>
      </c>
      <c r="L615" s="1">
        <v>43906</v>
      </c>
      <c r="M615" s="4">
        <v>2</v>
      </c>
      <c r="N615" s="7" cm="1">
        <f t="array" ref="N615">_xlfn.IFS(I615="Dell Inspiron 15",66989,I615="Lenovo IdeaPad Slim 3i",34690,I615="Mi NoteBook Ultra",57999,I615="Samsung Galaxy Go",36990,I615="Acer Aspire 3",38980)</f>
        <v>38980</v>
      </c>
      <c r="O615" s="5" t="s">
        <v>1030</v>
      </c>
    </row>
    <row r="616" spans="1:15" x14ac:dyDescent="0.35">
      <c r="A616" s="4">
        <v>23027</v>
      </c>
      <c r="B616" s="5" t="s">
        <v>23</v>
      </c>
      <c r="C616" s="5" t="s">
        <v>297</v>
      </c>
      <c r="D616" s="5" t="s">
        <v>1032</v>
      </c>
      <c r="E616" s="5" t="s">
        <v>1035</v>
      </c>
      <c r="F616" s="5" t="s">
        <v>1012</v>
      </c>
      <c r="G616" s="3" t="s">
        <v>1017</v>
      </c>
      <c r="H616" s="5" t="s">
        <v>917</v>
      </c>
      <c r="I616" s="5" t="s">
        <v>1023</v>
      </c>
      <c r="J616" s="4">
        <v>4616</v>
      </c>
      <c r="K616" s="1">
        <v>43902</v>
      </c>
      <c r="L616" s="1">
        <v>43903</v>
      </c>
      <c r="M616" s="4">
        <v>10</v>
      </c>
      <c r="N616" s="7" cm="1">
        <f t="array" ref="N616">_xlfn.IFS(I616="Dell Inspiron 15",66989,I616="Lenovo IdeaPad Slim 3i",34690,I616="Mi NoteBook Ultra",57999,I616="Samsung Galaxy Go",36990,I616="Acer Aspire 3",38980)</f>
        <v>66989</v>
      </c>
      <c r="O616" s="5" t="s">
        <v>1030</v>
      </c>
    </row>
    <row r="617" spans="1:15" x14ac:dyDescent="0.35">
      <c r="A617" s="4">
        <v>22355</v>
      </c>
      <c r="B617" s="5" t="s">
        <v>35</v>
      </c>
      <c r="C617" s="5" t="s">
        <v>88</v>
      </c>
      <c r="D617" s="5" t="s">
        <v>1032</v>
      </c>
      <c r="E617" s="5" t="s">
        <v>1035</v>
      </c>
      <c r="F617" s="5" t="s">
        <v>1012</v>
      </c>
      <c r="G617" s="3" t="s">
        <v>1017</v>
      </c>
      <c r="H617" s="5" t="s">
        <v>918</v>
      </c>
      <c r="I617" s="5" t="s">
        <v>1025</v>
      </c>
      <c r="J617" s="4">
        <v>5239</v>
      </c>
      <c r="K617" s="1">
        <v>43944</v>
      </c>
      <c r="L617" s="1">
        <v>43945</v>
      </c>
      <c r="M617" s="4">
        <v>9</v>
      </c>
      <c r="N617" s="7" cm="1">
        <f t="array" ref="N617">_xlfn.IFS(I617="Dell Inspiron 15",66989,I617="Lenovo IdeaPad Slim 3i",34690,I617="Mi NoteBook Ultra",57999,I617="Samsung Galaxy Go",36990,I617="Acer Aspire 3",38980)</f>
        <v>57999</v>
      </c>
      <c r="O617" s="5" t="s">
        <v>1030</v>
      </c>
    </row>
    <row r="618" spans="1:15" x14ac:dyDescent="0.35">
      <c r="A618" s="4">
        <v>12991</v>
      </c>
      <c r="B618" s="5" t="s">
        <v>181</v>
      </c>
      <c r="C618" s="5" t="s">
        <v>396</v>
      </c>
      <c r="D618" s="5" t="s">
        <v>1032</v>
      </c>
      <c r="E618" s="5" t="s">
        <v>1036</v>
      </c>
      <c r="F618" s="5" t="s">
        <v>1013</v>
      </c>
      <c r="G618" s="3" t="s">
        <v>1018</v>
      </c>
      <c r="H618" s="5" t="s">
        <v>919</v>
      </c>
      <c r="I618" s="5" t="s">
        <v>1027</v>
      </c>
      <c r="J618" s="4">
        <v>5003</v>
      </c>
      <c r="K618" s="1">
        <v>43852</v>
      </c>
      <c r="L618" s="1">
        <v>43853</v>
      </c>
      <c r="M618" s="4">
        <v>1</v>
      </c>
      <c r="N618" s="7" cm="1">
        <f t="array" ref="N618">_xlfn.IFS(I618="Dell Inspiron 15",66989,I618="Lenovo IdeaPad Slim 3i",34690,I618="Mi NoteBook Ultra",57999,I618="Samsung Galaxy Go",36990,I618="Acer Aspire 3",38980)</f>
        <v>38980</v>
      </c>
      <c r="O618" s="5" t="s">
        <v>1030</v>
      </c>
    </row>
    <row r="619" spans="1:15" x14ac:dyDescent="0.35">
      <c r="A619" s="4">
        <v>24392</v>
      </c>
      <c r="B619" s="5" t="s">
        <v>248</v>
      </c>
      <c r="C619" s="5" t="s">
        <v>312</v>
      </c>
      <c r="D619" s="5" t="s">
        <v>1032</v>
      </c>
      <c r="E619" s="5" t="s">
        <v>1036</v>
      </c>
      <c r="F619" s="5" t="s">
        <v>1013</v>
      </c>
      <c r="G619" s="3" t="s">
        <v>1018</v>
      </c>
      <c r="H619" s="5" t="s">
        <v>920</v>
      </c>
      <c r="I619" s="5" t="s">
        <v>1023</v>
      </c>
      <c r="J619" s="4">
        <v>4753</v>
      </c>
      <c r="K619" s="1">
        <v>43941</v>
      </c>
      <c r="L619" s="1">
        <v>43943</v>
      </c>
      <c r="M619" s="4">
        <v>5</v>
      </c>
      <c r="N619" s="7" cm="1">
        <f t="array" ref="N619">_xlfn.IFS(I619="Dell Inspiron 15",66989,I619="Lenovo IdeaPad Slim 3i",34690,I619="Mi NoteBook Ultra",57999,I619="Samsung Galaxy Go",36990,I619="Acer Aspire 3",38980)</f>
        <v>66989</v>
      </c>
      <c r="O619" s="5" t="s">
        <v>1030</v>
      </c>
    </row>
    <row r="620" spans="1:15" x14ac:dyDescent="0.35">
      <c r="A620" s="4">
        <v>17987</v>
      </c>
      <c r="B620" s="5" t="s">
        <v>309</v>
      </c>
      <c r="C620" s="5" t="s">
        <v>747</v>
      </c>
      <c r="D620" s="5" t="s">
        <v>1032</v>
      </c>
      <c r="E620" s="5" t="s">
        <v>1033</v>
      </c>
      <c r="F620" s="5" t="s">
        <v>1010</v>
      </c>
      <c r="G620" s="3" t="s">
        <v>1015</v>
      </c>
      <c r="H620" s="5" t="s">
        <v>921</v>
      </c>
      <c r="I620" s="5" t="s">
        <v>1024</v>
      </c>
      <c r="J620" s="4">
        <v>4919</v>
      </c>
      <c r="K620" s="1">
        <v>43845</v>
      </c>
      <c r="L620" s="1">
        <v>43846</v>
      </c>
      <c r="M620" s="4">
        <v>9</v>
      </c>
      <c r="N620" s="7" cm="1">
        <f t="array" ref="N620">_xlfn.IFS(I620="Dell Inspiron 15",66989,I620="Lenovo IdeaPad Slim 3i",34690,I620="Mi NoteBook Ultra",57999,I620="Samsung Galaxy Go",36990,I620="Acer Aspire 3",38980)</f>
        <v>34690</v>
      </c>
      <c r="O620" s="5" t="s">
        <v>1030</v>
      </c>
    </row>
    <row r="621" spans="1:15" x14ac:dyDescent="0.35">
      <c r="A621" s="4">
        <v>18154</v>
      </c>
      <c r="B621" s="5" t="s">
        <v>123</v>
      </c>
      <c r="C621" s="5" t="s">
        <v>430</v>
      </c>
      <c r="D621" s="5" t="s">
        <v>1032</v>
      </c>
      <c r="E621" s="5" t="s">
        <v>1034</v>
      </c>
      <c r="F621" s="5" t="s">
        <v>1011</v>
      </c>
      <c r="G621" s="3" t="s">
        <v>1016</v>
      </c>
      <c r="H621" s="5" t="s">
        <v>922</v>
      </c>
      <c r="I621" s="5" t="s">
        <v>1023</v>
      </c>
      <c r="J621" s="4">
        <v>5310</v>
      </c>
      <c r="K621" s="1">
        <v>43940</v>
      </c>
      <c r="L621" s="1">
        <v>43947</v>
      </c>
      <c r="M621" s="4">
        <v>6</v>
      </c>
      <c r="N621" s="7" cm="1">
        <f t="array" ref="N621">_xlfn.IFS(I621="Dell Inspiron 15",66989,I621="Lenovo IdeaPad Slim 3i",34690,I621="Mi NoteBook Ultra",57999,I621="Samsung Galaxy Go",36990,I621="Acer Aspire 3",38980)</f>
        <v>66989</v>
      </c>
      <c r="O621" s="5" t="s">
        <v>1030</v>
      </c>
    </row>
    <row r="622" spans="1:15" x14ac:dyDescent="0.35">
      <c r="A622" s="4">
        <v>22719</v>
      </c>
      <c r="B622" s="5" t="s">
        <v>593</v>
      </c>
      <c r="C622" s="5" t="s">
        <v>88</v>
      </c>
      <c r="D622" s="5" t="s">
        <v>1032</v>
      </c>
      <c r="E622" s="5" t="s">
        <v>1033</v>
      </c>
      <c r="F622" s="5" t="s">
        <v>1010</v>
      </c>
      <c r="G622" s="3" t="s">
        <v>1015</v>
      </c>
      <c r="H622" s="5" t="s">
        <v>923</v>
      </c>
      <c r="I622" s="5" t="s">
        <v>1027</v>
      </c>
      <c r="J622" s="4">
        <v>4794</v>
      </c>
      <c r="K622" s="1">
        <v>43919</v>
      </c>
      <c r="L622" s="1">
        <v>43922</v>
      </c>
      <c r="M622" s="4">
        <v>2</v>
      </c>
      <c r="N622" s="7" cm="1">
        <f t="array" ref="N622">_xlfn.IFS(I622="Dell Inspiron 15",66989,I622="Lenovo IdeaPad Slim 3i",34690,I622="Mi NoteBook Ultra",57999,I622="Samsung Galaxy Go",36990,I622="Acer Aspire 3",38980)</f>
        <v>38980</v>
      </c>
      <c r="O622" s="5" t="s">
        <v>1030</v>
      </c>
    </row>
    <row r="623" spans="1:15" x14ac:dyDescent="0.35">
      <c r="A623" s="4">
        <v>24390</v>
      </c>
      <c r="B623" s="5" t="s">
        <v>593</v>
      </c>
      <c r="C623" s="5" t="s">
        <v>108</v>
      </c>
      <c r="D623" s="5" t="s">
        <v>1032</v>
      </c>
      <c r="E623" s="5" t="s">
        <v>1035</v>
      </c>
      <c r="F623" s="5" t="s">
        <v>1012</v>
      </c>
      <c r="G623" s="3" t="s">
        <v>1017</v>
      </c>
      <c r="H623" s="5" t="s">
        <v>924</v>
      </c>
      <c r="I623" s="5" t="s">
        <v>1025</v>
      </c>
      <c r="J623" s="4">
        <v>5402</v>
      </c>
      <c r="K623" s="1">
        <v>44000</v>
      </c>
      <c r="L623" s="1">
        <v>44004</v>
      </c>
      <c r="M623" s="4">
        <v>6</v>
      </c>
      <c r="N623" s="7" cm="1">
        <f t="array" ref="N623">_xlfn.IFS(I623="Dell Inspiron 15",66989,I623="Lenovo IdeaPad Slim 3i",34690,I623="Mi NoteBook Ultra",57999,I623="Samsung Galaxy Go",36990,I623="Acer Aspire 3",38980)</f>
        <v>57999</v>
      </c>
      <c r="O623" s="5" t="s">
        <v>1030</v>
      </c>
    </row>
    <row r="624" spans="1:15" x14ac:dyDescent="0.35">
      <c r="A624" s="4">
        <v>22211</v>
      </c>
      <c r="B624" s="5" t="s">
        <v>293</v>
      </c>
      <c r="C624" s="5" t="s">
        <v>469</v>
      </c>
      <c r="D624" s="5" t="s">
        <v>1032</v>
      </c>
      <c r="E624" s="5" t="s">
        <v>1035</v>
      </c>
      <c r="F624" s="5" t="s">
        <v>1012</v>
      </c>
      <c r="G624" s="3" t="s">
        <v>1017</v>
      </c>
      <c r="H624" s="5" t="s">
        <v>925</v>
      </c>
      <c r="I624" s="5" t="s">
        <v>1026</v>
      </c>
      <c r="J624" s="4">
        <v>5164</v>
      </c>
      <c r="K624" s="1">
        <v>43965</v>
      </c>
      <c r="L624" s="1">
        <v>43966</v>
      </c>
      <c r="M624" s="4">
        <v>4</v>
      </c>
      <c r="N624" s="7" cm="1">
        <f t="array" ref="N624">_xlfn.IFS(I624="Dell Inspiron 15",66989,I624="Lenovo IdeaPad Slim 3i",34690,I624="Mi NoteBook Ultra",57999,I624="Samsung Galaxy Go",36990,I624="Acer Aspire 3",38980)</f>
        <v>36990</v>
      </c>
      <c r="O624" s="5" t="s">
        <v>1030</v>
      </c>
    </row>
    <row r="625" spans="1:15" x14ac:dyDescent="0.35">
      <c r="A625" s="4">
        <v>17543</v>
      </c>
      <c r="B625" s="5" t="s">
        <v>926</v>
      </c>
      <c r="C625" s="5" t="s">
        <v>33</v>
      </c>
      <c r="D625" s="5" t="s">
        <v>1032</v>
      </c>
      <c r="E625" s="5" t="s">
        <v>1036</v>
      </c>
      <c r="F625" s="5" t="s">
        <v>1013</v>
      </c>
      <c r="G625" s="3" t="s">
        <v>1018</v>
      </c>
      <c r="H625" s="5" t="s">
        <v>927</v>
      </c>
      <c r="I625" s="5" t="s">
        <v>1027</v>
      </c>
      <c r="J625" s="4">
        <v>4614</v>
      </c>
      <c r="K625" s="1">
        <v>43855</v>
      </c>
      <c r="L625" s="1">
        <v>43856</v>
      </c>
      <c r="M625" s="4">
        <v>4</v>
      </c>
      <c r="N625" s="7" cm="1">
        <f t="array" ref="N625">_xlfn.IFS(I625="Dell Inspiron 15",66989,I625="Lenovo IdeaPad Slim 3i",34690,I625="Mi NoteBook Ultra",57999,I625="Samsung Galaxy Go",36990,I625="Acer Aspire 3",38980)</f>
        <v>38980</v>
      </c>
      <c r="O625" s="5" t="s">
        <v>1030</v>
      </c>
    </row>
    <row r="626" spans="1:15" x14ac:dyDescent="0.35">
      <c r="A626" s="4">
        <v>22421</v>
      </c>
      <c r="B626" s="5" t="s">
        <v>110</v>
      </c>
      <c r="C626" s="5" t="s">
        <v>67</v>
      </c>
      <c r="D626" s="5" t="s">
        <v>1032</v>
      </c>
      <c r="E626" s="5" t="s">
        <v>1033</v>
      </c>
      <c r="F626" s="5" t="s">
        <v>1010</v>
      </c>
      <c r="G626" s="3" t="s">
        <v>1015</v>
      </c>
      <c r="H626" s="5" t="s">
        <v>928</v>
      </c>
      <c r="I626" s="5" t="s">
        <v>1023</v>
      </c>
      <c r="J626" s="4">
        <v>4929</v>
      </c>
      <c r="K626" s="1">
        <v>43832</v>
      </c>
      <c r="L626" s="1">
        <v>43834</v>
      </c>
      <c r="M626" s="4">
        <v>3</v>
      </c>
      <c r="N626" s="7" cm="1">
        <f t="array" ref="N626">_xlfn.IFS(I626="Dell Inspiron 15",66989,I626="Lenovo IdeaPad Slim 3i",34690,I626="Mi NoteBook Ultra",57999,I626="Samsung Galaxy Go",36990,I626="Acer Aspire 3",38980)</f>
        <v>66989</v>
      </c>
      <c r="O626" s="5" t="s">
        <v>1030</v>
      </c>
    </row>
    <row r="627" spans="1:15" x14ac:dyDescent="0.35">
      <c r="A627" s="4">
        <v>15746</v>
      </c>
      <c r="B627" s="5" t="s">
        <v>7</v>
      </c>
      <c r="C627" s="5" t="s">
        <v>256</v>
      </c>
      <c r="D627" s="5" t="s">
        <v>1032</v>
      </c>
      <c r="E627" s="5" t="s">
        <v>1035</v>
      </c>
      <c r="F627" s="5" t="s">
        <v>1012</v>
      </c>
      <c r="G627" s="3" t="s">
        <v>1017</v>
      </c>
      <c r="H627" s="5" t="s">
        <v>929</v>
      </c>
      <c r="I627" s="5" t="s">
        <v>1025</v>
      </c>
      <c r="J627" s="4">
        <v>5350</v>
      </c>
      <c r="K627" s="1">
        <v>43832</v>
      </c>
      <c r="L627" s="1">
        <v>43833</v>
      </c>
      <c r="M627" s="4">
        <v>8</v>
      </c>
      <c r="N627" s="7" cm="1">
        <f t="array" ref="N627">_xlfn.IFS(I627="Dell Inspiron 15",66989,I627="Lenovo IdeaPad Slim 3i",34690,I627="Mi NoteBook Ultra",57999,I627="Samsung Galaxy Go",36990,I627="Acer Aspire 3",38980)</f>
        <v>57999</v>
      </c>
      <c r="O627" s="5" t="s">
        <v>1030</v>
      </c>
    </row>
    <row r="628" spans="1:15" x14ac:dyDescent="0.35">
      <c r="A628" s="4">
        <v>22456</v>
      </c>
      <c r="B628" s="5" t="s">
        <v>345</v>
      </c>
      <c r="C628" s="5" t="s">
        <v>4</v>
      </c>
      <c r="D628" s="5" t="s">
        <v>1032</v>
      </c>
      <c r="E628" s="5" t="s">
        <v>1036</v>
      </c>
      <c r="F628" s="5" t="s">
        <v>1013</v>
      </c>
      <c r="G628" s="3" t="s">
        <v>1018</v>
      </c>
      <c r="H628" s="5" t="s">
        <v>930</v>
      </c>
      <c r="I628" s="5" t="s">
        <v>1027</v>
      </c>
      <c r="J628" s="4">
        <v>5147</v>
      </c>
      <c r="K628" s="1">
        <v>43841</v>
      </c>
      <c r="L628" s="1">
        <v>43848</v>
      </c>
      <c r="M628" s="4">
        <v>4</v>
      </c>
      <c r="N628" s="7" cm="1">
        <f t="array" ref="N628">_xlfn.IFS(I628="Dell Inspiron 15",66989,I628="Lenovo IdeaPad Slim 3i",34690,I628="Mi NoteBook Ultra",57999,I628="Samsung Galaxy Go",36990,I628="Acer Aspire 3",38980)</f>
        <v>38980</v>
      </c>
      <c r="O628" s="5" t="s">
        <v>1030</v>
      </c>
    </row>
    <row r="629" spans="1:15" x14ac:dyDescent="0.35">
      <c r="A629" s="4">
        <v>23896</v>
      </c>
      <c r="B629" s="5" t="s">
        <v>321</v>
      </c>
      <c r="C629" s="5" t="s">
        <v>142</v>
      </c>
      <c r="D629" s="5" t="s">
        <v>1032</v>
      </c>
      <c r="E629" s="5" t="s">
        <v>1033</v>
      </c>
      <c r="F629" s="5" t="s">
        <v>1010</v>
      </c>
      <c r="G629" s="3" t="s">
        <v>1015</v>
      </c>
      <c r="H629" s="5" t="s">
        <v>931</v>
      </c>
      <c r="I629" s="5" t="s">
        <v>1023</v>
      </c>
      <c r="J629" s="4">
        <v>5291</v>
      </c>
      <c r="K629" s="1">
        <v>43833</v>
      </c>
      <c r="L629" s="1">
        <v>43835</v>
      </c>
      <c r="M629" s="4">
        <v>10</v>
      </c>
      <c r="N629" s="7" cm="1">
        <f t="array" ref="N629">_xlfn.IFS(I629="Dell Inspiron 15",66989,I629="Lenovo IdeaPad Slim 3i",34690,I629="Mi NoteBook Ultra",57999,I629="Samsung Galaxy Go",36990,I629="Acer Aspire 3",38980)</f>
        <v>66989</v>
      </c>
      <c r="O629" s="5" t="s">
        <v>1030</v>
      </c>
    </row>
    <row r="630" spans="1:15" x14ac:dyDescent="0.35">
      <c r="A630" s="4">
        <v>17265</v>
      </c>
      <c r="B630" s="5" t="s">
        <v>52</v>
      </c>
      <c r="C630" s="5" t="s">
        <v>469</v>
      </c>
      <c r="D630" s="5" t="s">
        <v>1032</v>
      </c>
      <c r="E630" s="5" t="s">
        <v>1036</v>
      </c>
      <c r="F630" s="5" t="s">
        <v>1013</v>
      </c>
      <c r="G630" s="3" t="s">
        <v>1018</v>
      </c>
      <c r="H630" s="5" t="s">
        <v>932</v>
      </c>
      <c r="I630" s="5" t="s">
        <v>1024</v>
      </c>
      <c r="J630" s="4">
        <v>5235</v>
      </c>
      <c r="K630" s="1">
        <v>43833</v>
      </c>
      <c r="L630" s="1">
        <v>43840</v>
      </c>
      <c r="M630" s="4">
        <v>5</v>
      </c>
      <c r="N630" s="7" cm="1">
        <f t="array" ref="N630">_xlfn.IFS(I630="Dell Inspiron 15",66989,I630="Lenovo IdeaPad Slim 3i",34690,I630="Mi NoteBook Ultra",57999,I630="Samsung Galaxy Go",36990,I630="Acer Aspire 3",38980)</f>
        <v>34690</v>
      </c>
      <c r="O630" s="5" t="s">
        <v>1030</v>
      </c>
    </row>
    <row r="631" spans="1:15" x14ac:dyDescent="0.35">
      <c r="A631" s="4">
        <v>19651</v>
      </c>
      <c r="B631" s="5" t="s">
        <v>848</v>
      </c>
      <c r="C631" s="5" t="s">
        <v>509</v>
      </c>
      <c r="D631" s="5" t="s">
        <v>1032</v>
      </c>
      <c r="E631" s="5" t="s">
        <v>1033</v>
      </c>
      <c r="F631" s="5" t="s">
        <v>1010</v>
      </c>
      <c r="G631" s="3" t="s">
        <v>1015</v>
      </c>
      <c r="H631" s="5" t="s">
        <v>933</v>
      </c>
      <c r="I631" s="5" t="s">
        <v>1023</v>
      </c>
      <c r="J631" s="4">
        <v>4811</v>
      </c>
      <c r="K631" s="1">
        <v>43833</v>
      </c>
      <c r="L631" s="1">
        <v>43837</v>
      </c>
      <c r="M631" s="4">
        <v>4</v>
      </c>
      <c r="N631" s="7" cm="1">
        <f t="array" ref="N631">_xlfn.IFS(I631="Dell Inspiron 15",66989,I631="Lenovo IdeaPad Slim 3i",34690,I631="Mi NoteBook Ultra",57999,I631="Samsung Galaxy Go",36990,I631="Acer Aspire 3",38980)</f>
        <v>66989</v>
      </c>
      <c r="O631" s="5" t="s">
        <v>1030</v>
      </c>
    </row>
    <row r="632" spans="1:15" x14ac:dyDescent="0.35">
      <c r="A632" s="4">
        <v>24650</v>
      </c>
      <c r="B632" s="5" t="s">
        <v>113</v>
      </c>
      <c r="C632" s="5" t="s">
        <v>91</v>
      </c>
      <c r="D632" s="5" t="s">
        <v>1032</v>
      </c>
      <c r="E632" s="5" t="s">
        <v>1034</v>
      </c>
      <c r="F632" s="5" t="s">
        <v>1011</v>
      </c>
      <c r="G632" s="3" t="s">
        <v>1016</v>
      </c>
      <c r="H632" s="5" t="s">
        <v>934</v>
      </c>
      <c r="I632" s="5" t="s">
        <v>1024</v>
      </c>
      <c r="J632" s="4">
        <v>5242</v>
      </c>
      <c r="K632" s="1">
        <v>43934</v>
      </c>
      <c r="L632" s="1">
        <v>43936</v>
      </c>
      <c r="M632" s="4">
        <v>5</v>
      </c>
      <c r="N632" s="7" cm="1">
        <f t="array" ref="N632">_xlfn.IFS(I632="Dell Inspiron 15",66989,I632="Lenovo IdeaPad Slim 3i",34690,I632="Mi NoteBook Ultra",57999,I632="Samsung Galaxy Go",36990,I632="Acer Aspire 3",38980)</f>
        <v>34690</v>
      </c>
      <c r="O632" s="5" t="s">
        <v>1030</v>
      </c>
    </row>
    <row r="633" spans="1:15" x14ac:dyDescent="0.35">
      <c r="A633" s="4">
        <v>25533</v>
      </c>
      <c r="B633" s="5" t="s">
        <v>90</v>
      </c>
      <c r="C633" s="5" t="s">
        <v>385</v>
      </c>
      <c r="D633" s="5" t="s">
        <v>1032</v>
      </c>
      <c r="E633" s="5" t="s">
        <v>1033</v>
      </c>
      <c r="F633" s="5" t="s">
        <v>1010</v>
      </c>
      <c r="G633" s="3" t="s">
        <v>1015</v>
      </c>
      <c r="H633" s="5" t="s">
        <v>935</v>
      </c>
      <c r="I633" s="5" t="s">
        <v>1025</v>
      </c>
      <c r="J633" s="4">
        <v>5458</v>
      </c>
      <c r="K633" s="1">
        <v>43882</v>
      </c>
      <c r="L633" s="1">
        <v>43882</v>
      </c>
      <c r="M633" s="4">
        <v>7</v>
      </c>
      <c r="N633" s="7" cm="1">
        <f t="array" ref="N633">_xlfn.IFS(I633="Dell Inspiron 15",66989,I633="Lenovo IdeaPad Slim 3i",34690,I633="Mi NoteBook Ultra",57999,I633="Samsung Galaxy Go",36990,I633="Acer Aspire 3",38980)</f>
        <v>57999</v>
      </c>
      <c r="O633" s="5" t="s">
        <v>1030</v>
      </c>
    </row>
    <row r="634" spans="1:15" x14ac:dyDescent="0.35">
      <c r="A634" s="4">
        <v>19944</v>
      </c>
      <c r="B634" s="5" t="s">
        <v>159</v>
      </c>
      <c r="C634" s="5" t="s">
        <v>278</v>
      </c>
      <c r="D634" s="5" t="s">
        <v>1032</v>
      </c>
      <c r="E634" s="5" t="s">
        <v>1035</v>
      </c>
      <c r="F634" s="5" t="s">
        <v>1012</v>
      </c>
      <c r="G634" s="3" t="s">
        <v>1017</v>
      </c>
      <c r="H634" s="5" t="s">
        <v>936</v>
      </c>
      <c r="I634" s="5" t="s">
        <v>1026</v>
      </c>
      <c r="J634" s="4">
        <v>5507</v>
      </c>
      <c r="K634" s="1">
        <v>43973</v>
      </c>
      <c r="L634" s="1">
        <v>43974</v>
      </c>
      <c r="M634" s="4">
        <v>7</v>
      </c>
      <c r="N634" s="7" cm="1">
        <f t="array" ref="N634">_xlfn.IFS(I634="Dell Inspiron 15",66989,I634="Lenovo IdeaPad Slim 3i",34690,I634="Mi NoteBook Ultra",57999,I634="Samsung Galaxy Go",36990,I634="Acer Aspire 3",38980)</f>
        <v>36990</v>
      </c>
      <c r="O634" s="5" t="s">
        <v>1030</v>
      </c>
    </row>
    <row r="635" spans="1:15" x14ac:dyDescent="0.35">
      <c r="A635" s="4">
        <v>19940</v>
      </c>
      <c r="B635" s="5" t="s">
        <v>62</v>
      </c>
      <c r="C635" s="5" t="s">
        <v>273</v>
      </c>
      <c r="D635" s="5" t="s">
        <v>1032</v>
      </c>
      <c r="E635" s="5" t="s">
        <v>1033</v>
      </c>
      <c r="F635" s="5" t="s">
        <v>1010</v>
      </c>
      <c r="G635" s="3" t="s">
        <v>1015</v>
      </c>
      <c r="H635" s="5" t="s">
        <v>937</v>
      </c>
      <c r="I635" s="5" t="s">
        <v>1027</v>
      </c>
      <c r="J635" s="4">
        <v>5401</v>
      </c>
      <c r="K635" s="1">
        <v>43882</v>
      </c>
      <c r="L635" s="1">
        <v>43882</v>
      </c>
      <c r="M635" s="4">
        <v>4</v>
      </c>
      <c r="N635" s="7" cm="1">
        <f t="array" ref="N635">_xlfn.IFS(I635="Dell Inspiron 15",66989,I635="Lenovo IdeaPad Slim 3i",34690,I635="Mi NoteBook Ultra",57999,I635="Samsung Galaxy Go",36990,I635="Acer Aspire 3",38980)</f>
        <v>38980</v>
      </c>
      <c r="O635" s="5" t="s">
        <v>1030</v>
      </c>
    </row>
    <row r="636" spans="1:15" x14ac:dyDescent="0.35">
      <c r="A636" s="4">
        <v>21350</v>
      </c>
      <c r="B636" s="5" t="s">
        <v>110</v>
      </c>
      <c r="C636" s="5" t="s">
        <v>850</v>
      </c>
      <c r="D636" s="5" t="s">
        <v>1032</v>
      </c>
      <c r="E636" s="5" t="s">
        <v>1034</v>
      </c>
      <c r="F636" s="5" t="s">
        <v>1011</v>
      </c>
      <c r="G636" s="3" t="s">
        <v>1016</v>
      </c>
      <c r="H636" s="5" t="s">
        <v>938</v>
      </c>
      <c r="I636" s="5" t="s">
        <v>1023</v>
      </c>
      <c r="J636" s="4">
        <v>4665</v>
      </c>
      <c r="K636" s="1">
        <v>43973</v>
      </c>
      <c r="L636" s="1">
        <v>43973</v>
      </c>
      <c r="M636" s="4">
        <v>2</v>
      </c>
      <c r="N636" s="7" cm="1">
        <f t="array" ref="N636">_xlfn.IFS(I636="Dell Inspiron 15",66989,I636="Lenovo IdeaPad Slim 3i",34690,I636="Mi NoteBook Ultra",57999,I636="Samsung Galaxy Go",36990,I636="Acer Aspire 3",38980)</f>
        <v>66989</v>
      </c>
      <c r="O636" s="5" t="s">
        <v>1030</v>
      </c>
    </row>
    <row r="637" spans="1:15" x14ac:dyDescent="0.35">
      <c r="A637" s="4">
        <v>24231</v>
      </c>
      <c r="B637" s="5" t="s">
        <v>383</v>
      </c>
      <c r="C637" s="5" t="s">
        <v>126</v>
      </c>
      <c r="D637" s="5" t="s">
        <v>1032</v>
      </c>
      <c r="E637" s="5" t="s">
        <v>1033</v>
      </c>
      <c r="F637" s="5" t="s">
        <v>1010</v>
      </c>
      <c r="G637" s="3" t="s">
        <v>1015</v>
      </c>
      <c r="H637" s="5" t="s">
        <v>939</v>
      </c>
      <c r="I637" s="5" t="s">
        <v>1025</v>
      </c>
      <c r="J637" s="4">
        <v>5251</v>
      </c>
      <c r="K637" s="1">
        <v>43973</v>
      </c>
      <c r="L637" s="1">
        <v>43974</v>
      </c>
      <c r="M637" s="4">
        <v>2</v>
      </c>
      <c r="N637" s="7" cm="1">
        <f t="array" ref="N637">_xlfn.IFS(I637="Dell Inspiron 15",66989,I637="Lenovo IdeaPad Slim 3i",34690,I637="Mi NoteBook Ultra",57999,I637="Samsung Galaxy Go",36990,I637="Acer Aspire 3",38980)</f>
        <v>57999</v>
      </c>
      <c r="O637" s="5" t="s">
        <v>1030</v>
      </c>
    </row>
    <row r="638" spans="1:15" x14ac:dyDescent="0.35">
      <c r="A638" s="4">
        <v>21528</v>
      </c>
      <c r="B638" s="5" t="s">
        <v>131</v>
      </c>
      <c r="C638" s="5" t="s">
        <v>513</v>
      </c>
      <c r="D638" s="5" t="s">
        <v>1032</v>
      </c>
      <c r="E638" s="5" t="s">
        <v>1035</v>
      </c>
      <c r="F638" s="5" t="s">
        <v>1012</v>
      </c>
      <c r="G638" s="3" t="s">
        <v>1017</v>
      </c>
      <c r="H638" s="5" t="s">
        <v>940</v>
      </c>
      <c r="I638" s="5" t="s">
        <v>1027</v>
      </c>
      <c r="J638" s="4">
        <v>5406</v>
      </c>
      <c r="K638" s="1">
        <v>43873</v>
      </c>
      <c r="L638" s="1">
        <v>43874</v>
      </c>
      <c r="M638" s="4">
        <v>4</v>
      </c>
      <c r="N638" s="7" cm="1">
        <f t="array" ref="N638">_xlfn.IFS(I638="Dell Inspiron 15",66989,I638="Lenovo IdeaPad Slim 3i",34690,I638="Mi NoteBook Ultra",57999,I638="Samsung Galaxy Go",36990,I638="Acer Aspire 3",38980)</f>
        <v>38980</v>
      </c>
      <c r="O638" s="5" t="s">
        <v>1030</v>
      </c>
    </row>
    <row r="639" spans="1:15" x14ac:dyDescent="0.35">
      <c r="A639" s="4">
        <v>15891</v>
      </c>
      <c r="B639" s="5" t="s">
        <v>29</v>
      </c>
      <c r="C639" s="5" t="s">
        <v>612</v>
      </c>
      <c r="D639" s="5" t="s">
        <v>1032</v>
      </c>
      <c r="E639" s="5" t="s">
        <v>1035</v>
      </c>
      <c r="F639" s="5" t="s">
        <v>1012</v>
      </c>
      <c r="G639" s="3" t="s">
        <v>1017</v>
      </c>
      <c r="H639" s="5" t="s">
        <v>941</v>
      </c>
      <c r="I639" s="5" t="s">
        <v>1023</v>
      </c>
      <c r="J639" s="4">
        <v>4616</v>
      </c>
      <c r="K639" s="1">
        <v>43873</v>
      </c>
      <c r="L639" s="1">
        <v>43876</v>
      </c>
      <c r="M639" s="4">
        <v>4</v>
      </c>
      <c r="N639" s="7" cm="1">
        <f t="array" ref="N639">_xlfn.IFS(I639="Dell Inspiron 15",66989,I639="Lenovo IdeaPad Slim 3i",34690,I639="Mi NoteBook Ultra",57999,I639="Samsung Galaxy Go",36990,I639="Acer Aspire 3",38980)</f>
        <v>66989</v>
      </c>
      <c r="O639" s="5" t="s">
        <v>1030</v>
      </c>
    </row>
    <row r="640" spans="1:15" x14ac:dyDescent="0.35">
      <c r="A640" s="4">
        <v>16483</v>
      </c>
      <c r="B640" s="5" t="s">
        <v>319</v>
      </c>
      <c r="C640" s="5" t="s">
        <v>942</v>
      </c>
      <c r="D640" s="5" t="s">
        <v>1032</v>
      </c>
      <c r="E640" s="5" t="s">
        <v>1035</v>
      </c>
      <c r="F640" s="5" t="s">
        <v>1012</v>
      </c>
      <c r="G640" s="3" t="s">
        <v>1017</v>
      </c>
      <c r="H640" s="5" t="s">
        <v>943</v>
      </c>
      <c r="I640" s="5" t="s">
        <v>1024</v>
      </c>
      <c r="J640" s="4">
        <v>5463</v>
      </c>
      <c r="K640" s="1">
        <v>43930</v>
      </c>
      <c r="L640" s="1">
        <v>43932</v>
      </c>
      <c r="M640" s="4">
        <v>2</v>
      </c>
      <c r="N640" s="7" cm="1">
        <f t="array" ref="N640">_xlfn.IFS(I640="Dell Inspiron 15",66989,I640="Lenovo IdeaPad Slim 3i",34690,I640="Mi NoteBook Ultra",57999,I640="Samsung Galaxy Go",36990,I640="Acer Aspire 3",38980)</f>
        <v>34690</v>
      </c>
      <c r="O640" s="5" t="s">
        <v>1030</v>
      </c>
    </row>
    <row r="641" spans="1:15" x14ac:dyDescent="0.35">
      <c r="A641" s="4">
        <v>14754</v>
      </c>
      <c r="B641" s="5" t="s">
        <v>334</v>
      </c>
      <c r="C641" s="5" t="s">
        <v>647</v>
      </c>
      <c r="D641" s="5" t="s">
        <v>1032</v>
      </c>
      <c r="E641" s="5" t="s">
        <v>1035</v>
      </c>
      <c r="F641" s="5" t="s">
        <v>1012</v>
      </c>
      <c r="G641" s="3" t="s">
        <v>1017</v>
      </c>
      <c r="H641" s="5" t="s">
        <v>944</v>
      </c>
      <c r="I641" s="5" t="s">
        <v>1026</v>
      </c>
      <c r="J641" s="4">
        <v>4790</v>
      </c>
      <c r="K641" s="1">
        <v>43930</v>
      </c>
      <c r="L641" s="1">
        <v>43930</v>
      </c>
      <c r="M641" s="4">
        <v>1</v>
      </c>
      <c r="N641" s="7" cm="1">
        <f t="array" ref="N641">_xlfn.IFS(I641="Dell Inspiron 15",66989,I641="Lenovo IdeaPad Slim 3i",34690,I641="Mi NoteBook Ultra",57999,I641="Samsung Galaxy Go",36990,I641="Acer Aspire 3",38980)</f>
        <v>36990</v>
      </c>
      <c r="O641" s="5" t="s">
        <v>1030</v>
      </c>
    </row>
    <row r="642" spans="1:15" x14ac:dyDescent="0.35">
      <c r="A642" s="4">
        <v>21693</v>
      </c>
      <c r="B642" s="5" t="s">
        <v>32</v>
      </c>
      <c r="C642" s="5" t="s">
        <v>945</v>
      </c>
      <c r="D642" s="5" t="s">
        <v>1032</v>
      </c>
      <c r="E642" s="5" t="s">
        <v>1036</v>
      </c>
      <c r="F642" s="5" t="s">
        <v>1013</v>
      </c>
      <c r="G642" s="3" t="s">
        <v>1018</v>
      </c>
      <c r="H642" s="5" t="s">
        <v>946</v>
      </c>
      <c r="I642" s="5" t="s">
        <v>1023</v>
      </c>
      <c r="J642" s="4">
        <v>5263</v>
      </c>
      <c r="K642" s="1">
        <v>43930</v>
      </c>
      <c r="L642" s="1">
        <v>43931</v>
      </c>
      <c r="M642" s="4">
        <v>3</v>
      </c>
      <c r="N642" s="7" cm="1">
        <f t="array" ref="N642">_xlfn.IFS(I642="Dell Inspiron 15",66989,I642="Lenovo IdeaPad Slim 3i",34690,I642="Mi NoteBook Ultra",57999,I642="Samsung Galaxy Go",36990,I642="Acer Aspire 3",38980)</f>
        <v>66989</v>
      </c>
      <c r="O642" s="5" t="s">
        <v>1030</v>
      </c>
    </row>
    <row r="643" spans="1:15" x14ac:dyDescent="0.35">
      <c r="A643" s="4">
        <v>15346</v>
      </c>
      <c r="B643" s="5" t="s">
        <v>52</v>
      </c>
      <c r="C643" s="5" t="s">
        <v>438</v>
      </c>
      <c r="D643" s="5" t="s">
        <v>1032</v>
      </c>
      <c r="E643" s="5" t="s">
        <v>1033</v>
      </c>
      <c r="F643" s="5" t="s">
        <v>1010</v>
      </c>
      <c r="G643" s="3" t="s">
        <v>1015</v>
      </c>
      <c r="H643" s="5" t="s">
        <v>947</v>
      </c>
      <c r="I643" s="5" t="s">
        <v>1027</v>
      </c>
      <c r="J643" s="4">
        <v>5148</v>
      </c>
      <c r="K643" s="1">
        <v>43833</v>
      </c>
      <c r="L643" s="1">
        <v>43835</v>
      </c>
      <c r="M643" s="4">
        <v>6</v>
      </c>
      <c r="N643" s="7" cm="1">
        <f t="array" ref="N643">_xlfn.IFS(I643="Dell Inspiron 15",66989,I643="Lenovo IdeaPad Slim 3i",34690,I643="Mi NoteBook Ultra",57999,I643="Samsung Galaxy Go",36990,I643="Acer Aspire 3",38980)</f>
        <v>38980</v>
      </c>
      <c r="O643" s="5" t="s">
        <v>1030</v>
      </c>
    </row>
    <row r="644" spans="1:15" x14ac:dyDescent="0.35">
      <c r="A644" s="4">
        <v>22330</v>
      </c>
      <c r="B644" s="5" t="s">
        <v>465</v>
      </c>
      <c r="C644" s="5" t="s">
        <v>108</v>
      </c>
      <c r="D644" s="5" t="s">
        <v>1032</v>
      </c>
      <c r="E644" s="5" t="s">
        <v>1034</v>
      </c>
      <c r="F644" s="5" t="s">
        <v>1011</v>
      </c>
      <c r="G644" s="3" t="s">
        <v>1016</v>
      </c>
      <c r="H644" s="5" t="s">
        <v>948</v>
      </c>
      <c r="I644" s="5" t="s">
        <v>1025</v>
      </c>
      <c r="J644" s="4">
        <v>5381</v>
      </c>
      <c r="K644" s="1">
        <v>43920</v>
      </c>
      <c r="L644" s="1">
        <v>43922</v>
      </c>
      <c r="M644" s="4">
        <v>8</v>
      </c>
      <c r="N644" s="7" cm="1">
        <f t="array" ref="N644">_xlfn.IFS(I644="Dell Inspiron 15",66989,I644="Lenovo IdeaPad Slim 3i",34690,I644="Mi NoteBook Ultra",57999,I644="Samsung Galaxy Go",36990,I644="Acer Aspire 3",38980)</f>
        <v>57999</v>
      </c>
      <c r="O644" s="5" t="s">
        <v>1030</v>
      </c>
    </row>
    <row r="645" spans="1:15" x14ac:dyDescent="0.35">
      <c r="A645" s="4">
        <v>14177</v>
      </c>
      <c r="B645" s="5" t="s">
        <v>537</v>
      </c>
      <c r="C645" s="5" t="s">
        <v>197</v>
      </c>
      <c r="D645" s="5" t="s">
        <v>1032</v>
      </c>
      <c r="E645" s="5" t="s">
        <v>1033</v>
      </c>
      <c r="F645" s="5" t="s">
        <v>1010</v>
      </c>
      <c r="G645" s="3" t="s">
        <v>1015</v>
      </c>
      <c r="H645" s="5" t="s">
        <v>949</v>
      </c>
      <c r="I645" s="5" t="s">
        <v>1026</v>
      </c>
      <c r="J645" s="4">
        <v>4907</v>
      </c>
      <c r="K645" s="1">
        <v>43840</v>
      </c>
      <c r="L645" s="1">
        <v>43841</v>
      </c>
      <c r="M645" s="4">
        <v>1</v>
      </c>
      <c r="N645" s="7" cm="1">
        <f t="array" ref="N645">_xlfn.IFS(I645="Dell Inspiron 15",66989,I645="Lenovo IdeaPad Slim 3i",34690,I645="Mi NoteBook Ultra",57999,I645="Samsung Galaxy Go",36990,I645="Acer Aspire 3",38980)</f>
        <v>36990</v>
      </c>
      <c r="O645" s="5" t="s">
        <v>1030</v>
      </c>
    </row>
    <row r="646" spans="1:15" x14ac:dyDescent="0.35">
      <c r="A646" s="4">
        <v>22689</v>
      </c>
      <c r="B646" s="5" t="s">
        <v>345</v>
      </c>
      <c r="C646" s="5" t="s">
        <v>415</v>
      </c>
      <c r="D646" s="5" t="s">
        <v>1032</v>
      </c>
      <c r="E646" s="5" t="s">
        <v>1035</v>
      </c>
      <c r="F646" s="5" t="s">
        <v>1012</v>
      </c>
      <c r="G646" s="3" t="s">
        <v>1017</v>
      </c>
      <c r="H646" s="5" t="s">
        <v>950</v>
      </c>
      <c r="I646" s="5" t="s">
        <v>1027</v>
      </c>
      <c r="J646" s="4">
        <v>5232</v>
      </c>
      <c r="K646" s="1">
        <v>43920</v>
      </c>
      <c r="L646" s="1">
        <v>43922</v>
      </c>
      <c r="M646" s="4">
        <v>1</v>
      </c>
      <c r="N646" s="7" cm="1">
        <f t="array" ref="N646">_xlfn.IFS(I646="Dell Inspiron 15",66989,I646="Lenovo IdeaPad Slim 3i",34690,I646="Mi NoteBook Ultra",57999,I646="Samsung Galaxy Go",36990,I646="Acer Aspire 3",38980)</f>
        <v>38980</v>
      </c>
      <c r="O646" s="5" t="s">
        <v>1030</v>
      </c>
    </row>
    <row r="647" spans="1:15" x14ac:dyDescent="0.35">
      <c r="A647" s="4">
        <v>21851</v>
      </c>
      <c r="B647" s="5" t="s">
        <v>101</v>
      </c>
      <c r="C647" s="5" t="s">
        <v>472</v>
      </c>
      <c r="D647" s="5" t="s">
        <v>1032</v>
      </c>
      <c r="E647" s="5" t="s">
        <v>1035</v>
      </c>
      <c r="F647" s="5" t="s">
        <v>1012</v>
      </c>
      <c r="G647" s="3" t="s">
        <v>1017</v>
      </c>
      <c r="H647" s="5" t="s">
        <v>951</v>
      </c>
      <c r="I647" s="5" t="s">
        <v>1023</v>
      </c>
      <c r="J647" s="4">
        <v>5099</v>
      </c>
      <c r="K647" s="1">
        <v>43923</v>
      </c>
      <c r="L647" s="1">
        <v>43925</v>
      </c>
      <c r="M647" s="4">
        <v>5</v>
      </c>
      <c r="N647" s="7" cm="1">
        <f t="array" ref="N647">_xlfn.IFS(I647="Dell Inspiron 15",66989,I647="Lenovo IdeaPad Slim 3i",34690,I647="Mi NoteBook Ultra",57999,I647="Samsung Galaxy Go",36990,I647="Acer Aspire 3",38980)</f>
        <v>66989</v>
      </c>
      <c r="O647" s="5" t="s">
        <v>1030</v>
      </c>
    </row>
    <row r="648" spans="1:15" x14ac:dyDescent="0.35">
      <c r="A648" s="4">
        <v>18530</v>
      </c>
      <c r="B648" s="5" t="s">
        <v>148</v>
      </c>
      <c r="C648" s="5" t="s">
        <v>81</v>
      </c>
      <c r="D648" s="5" t="s">
        <v>1032</v>
      </c>
      <c r="E648" s="5" t="s">
        <v>1036</v>
      </c>
      <c r="F648" s="5" t="s">
        <v>1013</v>
      </c>
      <c r="G648" s="3" t="s">
        <v>1018</v>
      </c>
      <c r="H648" s="5" t="s">
        <v>952</v>
      </c>
      <c r="I648" s="5" t="s">
        <v>1025</v>
      </c>
      <c r="J648" s="4">
        <v>4636</v>
      </c>
      <c r="K648" s="1">
        <v>43923</v>
      </c>
      <c r="L648" s="1">
        <v>43925</v>
      </c>
      <c r="M648" s="4">
        <v>7</v>
      </c>
      <c r="N648" s="7" cm="1">
        <f t="array" ref="N648">_xlfn.IFS(I648="Dell Inspiron 15",66989,I648="Lenovo IdeaPad Slim 3i",34690,I648="Mi NoteBook Ultra",57999,I648="Samsung Galaxy Go",36990,I648="Acer Aspire 3",38980)</f>
        <v>57999</v>
      </c>
      <c r="O648" s="5" t="s">
        <v>1030</v>
      </c>
    </row>
    <row r="649" spans="1:15" x14ac:dyDescent="0.35">
      <c r="A649" s="4">
        <v>22417</v>
      </c>
      <c r="B649" s="5" t="s">
        <v>47</v>
      </c>
      <c r="C649" s="5" t="s">
        <v>70</v>
      </c>
      <c r="D649" s="5" t="s">
        <v>1032</v>
      </c>
      <c r="E649" s="5" t="s">
        <v>1033</v>
      </c>
      <c r="F649" s="5" t="s">
        <v>1010</v>
      </c>
      <c r="G649" s="3" t="s">
        <v>1015</v>
      </c>
      <c r="H649" s="5" t="s">
        <v>953</v>
      </c>
      <c r="I649" s="5" t="s">
        <v>1027</v>
      </c>
      <c r="J649" s="4">
        <v>4805</v>
      </c>
      <c r="K649" s="1">
        <v>43948</v>
      </c>
      <c r="L649" s="1">
        <v>43949</v>
      </c>
      <c r="M649" s="4">
        <v>4</v>
      </c>
      <c r="N649" s="7" cm="1">
        <f t="array" ref="N649">_xlfn.IFS(I649="Dell Inspiron 15",66989,I649="Lenovo IdeaPad Slim 3i",34690,I649="Mi NoteBook Ultra",57999,I649="Samsung Galaxy Go",36990,I649="Acer Aspire 3",38980)</f>
        <v>38980</v>
      </c>
      <c r="O649" s="5" t="s">
        <v>1030</v>
      </c>
    </row>
    <row r="650" spans="1:15" x14ac:dyDescent="0.35">
      <c r="A650" s="4">
        <v>21259</v>
      </c>
      <c r="B650" s="5" t="s">
        <v>178</v>
      </c>
      <c r="C650" s="5" t="s">
        <v>509</v>
      </c>
      <c r="D650" s="5" t="s">
        <v>1032</v>
      </c>
      <c r="E650" s="5" t="s">
        <v>1034</v>
      </c>
      <c r="F650" s="5" t="s">
        <v>1011</v>
      </c>
      <c r="G650" s="3" t="s">
        <v>1016</v>
      </c>
      <c r="H650" s="5" t="s">
        <v>954</v>
      </c>
      <c r="I650" s="5" t="s">
        <v>1023</v>
      </c>
      <c r="J650" s="4">
        <v>5000</v>
      </c>
      <c r="K650" s="1">
        <v>43846</v>
      </c>
      <c r="L650" s="1">
        <v>43848</v>
      </c>
      <c r="M650" s="4">
        <v>3</v>
      </c>
      <c r="N650" s="7" cm="1">
        <f t="array" ref="N650">_xlfn.IFS(I650="Dell Inspiron 15",66989,I650="Lenovo IdeaPad Slim 3i",34690,I650="Mi NoteBook Ultra",57999,I650="Samsung Galaxy Go",36990,I650="Acer Aspire 3",38980)</f>
        <v>66989</v>
      </c>
      <c r="O650" s="5" t="s">
        <v>1030</v>
      </c>
    </row>
    <row r="651" spans="1:15" x14ac:dyDescent="0.35">
      <c r="A651" s="4">
        <v>22758</v>
      </c>
      <c r="B651" s="5" t="s">
        <v>296</v>
      </c>
      <c r="C651" s="5" t="s">
        <v>301</v>
      </c>
      <c r="D651" s="5" t="s">
        <v>1032</v>
      </c>
      <c r="E651" s="5" t="s">
        <v>1033</v>
      </c>
      <c r="F651" s="5" t="s">
        <v>1010</v>
      </c>
      <c r="G651" s="3" t="s">
        <v>1015</v>
      </c>
      <c r="H651" s="5" t="s">
        <v>955</v>
      </c>
      <c r="I651" s="5" t="s">
        <v>1024</v>
      </c>
      <c r="J651" s="4">
        <v>5173</v>
      </c>
      <c r="K651" s="1">
        <v>43847</v>
      </c>
      <c r="L651" s="1">
        <v>43851</v>
      </c>
      <c r="M651" s="4">
        <v>5</v>
      </c>
      <c r="N651" s="7" cm="1">
        <f t="array" ref="N651">_xlfn.IFS(I651="Dell Inspiron 15",66989,I651="Lenovo IdeaPad Slim 3i",34690,I651="Mi NoteBook Ultra",57999,I651="Samsung Galaxy Go",36990,I651="Acer Aspire 3",38980)</f>
        <v>34690</v>
      </c>
      <c r="O651" s="5" t="s">
        <v>1030</v>
      </c>
    </row>
    <row r="652" spans="1:15" x14ac:dyDescent="0.35">
      <c r="A652" s="4">
        <v>20672</v>
      </c>
      <c r="B652" s="5" t="s">
        <v>347</v>
      </c>
      <c r="C652" s="5" t="s">
        <v>140</v>
      </c>
      <c r="D652" s="5" t="s">
        <v>1032</v>
      </c>
      <c r="E652" s="5" t="s">
        <v>1035</v>
      </c>
      <c r="F652" s="5" t="s">
        <v>1012</v>
      </c>
      <c r="G652" s="3" t="s">
        <v>1017</v>
      </c>
      <c r="H652" s="5" t="s">
        <v>956</v>
      </c>
      <c r="I652" s="5" t="s">
        <v>1025</v>
      </c>
      <c r="J652" s="4">
        <v>5439</v>
      </c>
      <c r="K652" s="1">
        <v>43984</v>
      </c>
      <c r="L652" s="1">
        <v>43984</v>
      </c>
      <c r="M652" s="4">
        <v>1</v>
      </c>
      <c r="N652" s="7" cm="1">
        <f t="array" ref="N652">_xlfn.IFS(I652="Dell Inspiron 15",66989,I652="Lenovo IdeaPad Slim 3i",34690,I652="Mi NoteBook Ultra",57999,I652="Samsung Galaxy Go",36990,I652="Acer Aspire 3",38980)</f>
        <v>57999</v>
      </c>
      <c r="O652" s="5" t="s">
        <v>1030</v>
      </c>
    </row>
    <row r="653" spans="1:15" x14ac:dyDescent="0.35">
      <c r="A653" s="4">
        <v>15363</v>
      </c>
      <c r="B653" s="5" t="s">
        <v>508</v>
      </c>
      <c r="C653" s="5" t="s">
        <v>160</v>
      </c>
      <c r="D653" s="5" t="s">
        <v>1032</v>
      </c>
      <c r="E653" s="5" t="s">
        <v>1035</v>
      </c>
      <c r="F653" s="5" t="s">
        <v>1012</v>
      </c>
      <c r="G653" s="3" t="s">
        <v>1017</v>
      </c>
      <c r="H653" s="5" t="s">
        <v>957</v>
      </c>
      <c r="I653" s="5" t="s">
        <v>1026</v>
      </c>
      <c r="J653" s="4">
        <v>4774</v>
      </c>
      <c r="K653" s="1">
        <v>43984</v>
      </c>
      <c r="L653" s="1">
        <v>43984</v>
      </c>
      <c r="M653" s="4">
        <v>9</v>
      </c>
      <c r="N653" s="7" cm="1">
        <f t="array" ref="N653">_xlfn.IFS(I653="Dell Inspiron 15",66989,I653="Lenovo IdeaPad Slim 3i",34690,I653="Mi NoteBook Ultra",57999,I653="Samsung Galaxy Go",36990,I653="Acer Aspire 3",38980)</f>
        <v>36990</v>
      </c>
      <c r="O653" s="5" t="s">
        <v>1030</v>
      </c>
    </row>
    <row r="654" spans="1:15" x14ac:dyDescent="0.35">
      <c r="A654" s="4">
        <v>17457</v>
      </c>
      <c r="B654" s="5" t="s">
        <v>151</v>
      </c>
      <c r="C654" s="5" t="s">
        <v>303</v>
      </c>
      <c r="D654" s="5" t="s">
        <v>1032</v>
      </c>
      <c r="E654" s="5" t="s">
        <v>1035</v>
      </c>
      <c r="F654" s="5" t="s">
        <v>1012</v>
      </c>
      <c r="G654" s="3" t="s">
        <v>1017</v>
      </c>
      <c r="H654" s="5" t="s">
        <v>958</v>
      </c>
      <c r="I654" s="5" t="s">
        <v>1027</v>
      </c>
      <c r="J654" s="4">
        <v>4778</v>
      </c>
      <c r="K654" s="1">
        <v>43963</v>
      </c>
      <c r="L654" s="1">
        <v>43964</v>
      </c>
      <c r="M654" s="4">
        <v>4</v>
      </c>
      <c r="N654" s="7" cm="1">
        <f t="array" ref="N654">_xlfn.IFS(I654="Dell Inspiron 15",66989,I654="Lenovo IdeaPad Slim 3i",34690,I654="Mi NoteBook Ultra",57999,I654="Samsung Galaxy Go",36990,I654="Acer Aspire 3",38980)</f>
        <v>38980</v>
      </c>
      <c r="O654" s="5" t="s">
        <v>1030</v>
      </c>
    </row>
    <row r="655" spans="1:15" x14ac:dyDescent="0.35">
      <c r="A655" s="4">
        <v>16145</v>
      </c>
      <c r="B655" s="5" t="s">
        <v>134</v>
      </c>
      <c r="C655" s="5" t="s">
        <v>959</v>
      </c>
      <c r="D655" s="5" t="s">
        <v>1032</v>
      </c>
      <c r="E655" s="5" t="s">
        <v>1035</v>
      </c>
      <c r="F655" s="5" t="s">
        <v>1012</v>
      </c>
      <c r="G655" s="3" t="s">
        <v>1017</v>
      </c>
      <c r="H655" s="5" t="s">
        <v>960</v>
      </c>
      <c r="I655" s="5" t="s">
        <v>1023</v>
      </c>
      <c r="J655" s="4">
        <v>4613</v>
      </c>
      <c r="K655" s="1">
        <v>43929</v>
      </c>
      <c r="L655" s="1">
        <v>43930</v>
      </c>
      <c r="M655" s="4">
        <v>10</v>
      </c>
      <c r="N655" s="7" cm="1">
        <f t="array" ref="N655">_xlfn.IFS(I655="Dell Inspiron 15",66989,I655="Lenovo IdeaPad Slim 3i",34690,I655="Mi NoteBook Ultra",57999,I655="Samsung Galaxy Go",36990,I655="Acer Aspire 3",38980)</f>
        <v>66989</v>
      </c>
      <c r="O655" s="5" t="s">
        <v>1030</v>
      </c>
    </row>
    <row r="656" spans="1:15" x14ac:dyDescent="0.35">
      <c r="A656" s="4">
        <v>25414</v>
      </c>
      <c r="B656" s="5" t="s">
        <v>377</v>
      </c>
      <c r="C656" s="5" t="s">
        <v>534</v>
      </c>
      <c r="D656" s="5" t="s">
        <v>1032</v>
      </c>
      <c r="E656" s="5" t="s">
        <v>1036</v>
      </c>
      <c r="F656" s="5" t="s">
        <v>1013</v>
      </c>
      <c r="G656" s="3" t="s">
        <v>1018</v>
      </c>
      <c r="H656" s="5" t="s">
        <v>961</v>
      </c>
      <c r="I656" s="5" t="s">
        <v>1025</v>
      </c>
      <c r="J656" s="4">
        <v>4903</v>
      </c>
      <c r="K656" s="1">
        <v>43979</v>
      </c>
      <c r="L656" s="1">
        <v>43979</v>
      </c>
      <c r="M656" s="4">
        <v>1</v>
      </c>
      <c r="N656" s="7" cm="1">
        <f t="array" ref="N656">_xlfn.IFS(I656="Dell Inspiron 15",66989,I656="Lenovo IdeaPad Slim 3i",34690,I656="Mi NoteBook Ultra",57999,I656="Samsung Galaxy Go",36990,I656="Acer Aspire 3",38980)</f>
        <v>57999</v>
      </c>
      <c r="O656" s="5" t="s">
        <v>1030</v>
      </c>
    </row>
    <row r="657" spans="1:15" x14ac:dyDescent="0.35">
      <c r="A657" s="4">
        <v>17513</v>
      </c>
      <c r="B657" s="5" t="s">
        <v>296</v>
      </c>
      <c r="C657" s="5" t="s">
        <v>106</v>
      </c>
      <c r="D657" s="5" t="s">
        <v>1032</v>
      </c>
      <c r="E657" s="5" t="s">
        <v>1033</v>
      </c>
      <c r="F657" s="5" t="s">
        <v>1010</v>
      </c>
      <c r="G657" s="3" t="s">
        <v>1015</v>
      </c>
      <c r="H657" s="5" t="s">
        <v>962</v>
      </c>
      <c r="I657" s="5" t="s">
        <v>1026</v>
      </c>
      <c r="J657" s="4">
        <v>5456</v>
      </c>
      <c r="K657" s="1">
        <v>43873</v>
      </c>
      <c r="L657" s="1">
        <v>43876</v>
      </c>
      <c r="M657" s="4">
        <v>9</v>
      </c>
      <c r="N657" s="7" cm="1">
        <f t="array" ref="N657">_xlfn.IFS(I657="Dell Inspiron 15",66989,I657="Lenovo IdeaPad Slim 3i",34690,I657="Mi NoteBook Ultra",57999,I657="Samsung Galaxy Go",36990,I657="Acer Aspire 3",38980)</f>
        <v>36990</v>
      </c>
      <c r="O657" s="5" t="s">
        <v>1030</v>
      </c>
    </row>
    <row r="658" spans="1:15" x14ac:dyDescent="0.35">
      <c r="A658" s="4">
        <v>24034</v>
      </c>
      <c r="B658" s="5" t="s">
        <v>530</v>
      </c>
      <c r="C658" s="5" t="s">
        <v>850</v>
      </c>
      <c r="D658" s="5" t="s">
        <v>1032</v>
      </c>
      <c r="E658" s="5" t="s">
        <v>1034</v>
      </c>
      <c r="F658" s="5" t="s">
        <v>1011</v>
      </c>
      <c r="G658" s="3" t="s">
        <v>1016</v>
      </c>
      <c r="H658" s="5" t="s">
        <v>963</v>
      </c>
      <c r="I658" s="5" t="s">
        <v>1027</v>
      </c>
      <c r="J658" s="4">
        <v>5517</v>
      </c>
      <c r="K658" s="1">
        <v>43873</v>
      </c>
      <c r="L658" s="1">
        <v>43875</v>
      </c>
      <c r="M658" s="4">
        <v>8</v>
      </c>
      <c r="N658" s="7" cm="1">
        <f t="array" ref="N658">_xlfn.IFS(I658="Dell Inspiron 15",66989,I658="Lenovo IdeaPad Slim 3i",34690,I658="Mi NoteBook Ultra",57999,I658="Samsung Galaxy Go",36990,I658="Acer Aspire 3",38980)</f>
        <v>38980</v>
      </c>
      <c r="O658" s="5" t="s">
        <v>1030</v>
      </c>
    </row>
    <row r="659" spans="1:15" x14ac:dyDescent="0.35">
      <c r="A659" s="4">
        <v>25313</v>
      </c>
      <c r="B659" s="5" t="s">
        <v>181</v>
      </c>
      <c r="C659" s="5" t="s">
        <v>369</v>
      </c>
      <c r="D659" s="5" t="s">
        <v>1032</v>
      </c>
      <c r="E659" s="5" t="s">
        <v>1033</v>
      </c>
      <c r="F659" s="5" t="s">
        <v>1010</v>
      </c>
      <c r="G659" s="3" t="s">
        <v>1015</v>
      </c>
      <c r="H659" s="5" t="s">
        <v>964</v>
      </c>
      <c r="I659" s="5" t="s">
        <v>1023</v>
      </c>
      <c r="J659" s="4">
        <v>5335</v>
      </c>
      <c r="K659" s="1">
        <v>43966</v>
      </c>
      <c r="L659" s="1">
        <v>43967</v>
      </c>
      <c r="M659" s="4">
        <v>4</v>
      </c>
      <c r="N659" s="7" cm="1">
        <f t="array" ref="N659">_xlfn.IFS(I659="Dell Inspiron 15",66989,I659="Lenovo IdeaPad Slim 3i",34690,I659="Mi NoteBook Ultra",57999,I659="Samsung Galaxy Go",36990,I659="Acer Aspire 3",38980)</f>
        <v>66989</v>
      </c>
      <c r="O659" s="5" t="s">
        <v>1030</v>
      </c>
    </row>
    <row r="660" spans="1:15" x14ac:dyDescent="0.35">
      <c r="A660" s="4">
        <v>25257</v>
      </c>
      <c r="B660" s="5" t="s">
        <v>104</v>
      </c>
      <c r="C660" s="5" t="s">
        <v>447</v>
      </c>
      <c r="D660" s="5" t="s">
        <v>1032</v>
      </c>
      <c r="E660" s="5" t="s">
        <v>1035</v>
      </c>
      <c r="F660" s="5" t="s">
        <v>1012</v>
      </c>
      <c r="G660" s="3" t="s">
        <v>1017</v>
      </c>
      <c r="H660" s="5" t="s">
        <v>965</v>
      </c>
      <c r="I660" s="5" t="s">
        <v>1025</v>
      </c>
      <c r="J660" s="4">
        <v>4950</v>
      </c>
      <c r="K660" s="1">
        <v>43972</v>
      </c>
      <c r="L660" s="1">
        <v>43974</v>
      </c>
      <c r="M660" s="4">
        <v>8</v>
      </c>
      <c r="N660" s="7" cm="1">
        <f t="array" ref="N660">_xlfn.IFS(I660="Dell Inspiron 15",66989,I660="Lenovo IdeaPad Slim 3i",34690,I660="Mi NoteBook Ultra",57999,I660="Samsung Galaxy Go",36990,I660="Acer Aspire 3",38980)</f>
        <v>57999</v>
      </c>
      <c r="O660" s="5" t="s">
        <v>1030</v>
      </c>
    </row>
    <row r="661" spans="1:15" x14ac:dyDescent="0.35">
      <c r="A661" s="4">
        <v>22288</v>
      </c>
      <c r="B661" s="5" t="s">
        <v>336</v>
      </c>
      <c r="C661" s="5" t="s">
        <v>509</v>
      </c>
      <c r="D661" s="5" t="s">
        <v>1032</v>
      </c>
      <c r="E661" s="5" t="s">
        <v>1035</v>
      </c>
      <c r="F661" s="5" t="s">
        <v>1012</v>
      </c>
      <c r="G661" s="3" t="s">
        <v>1017</v>
      </c>
      <c r="H661" s="5" t="s">
        <v>966</v>
      </c>
      <c r="I661" s="5" t="s">
        <v>1027</v>
      </c>
      <c r="J661" s="4">
        <v>4914</v>
      </c>
      <c r="K661" s="1">
        <v>43966</v>
      </c>
      <c r="L661" s="1">
        <v>43967</v>
      </c>
      <c r="M661" s="4">
        <v>10</v>
      </c>
      <c r="N661" s="7" cm="1">
        <f t="array" ref="N661">_xlfn.IFS(I661="Dell Inspiron 15",66989,I661="Lenovo IdeaPad Slim 3i",34690,I661="Mi NoteBook Ultra",57999,I661="Samsung Galaxy Go",36990,I661="Acer Aspire 3",38980)</f>
        <v>38980</v>
      </c>
      <c r="O661" s="5" t="s">
        <v>1030</v>
      </c>
    </row>
    <row r="662" spans="1:15" x14ac:dyDescent="0.35">
      <c r="A662" s="4">
        <v>17019</v>
      </c>
      <c r="B662" s="5" t="s">
        <v>296</v>
      </c>
      <c r="C662" s="5" t="s">
        <v>273</v>
      </c>
      <c r="D662" s="5" t="s">
        <v>1032</v>
      </c>
      <c r="E662" s="5" t="s">
        <v>1035</v>
      </c>
      <c r="F662" s="5" t="s">
        <v>1012</v>
      </c>
      <c r="G662" s="3" t="s">
        <v>1017</v>
      </c>
      <c r="H662" s="5" t="s">
        <v>967</v>
      </c>
      <c r="I662" s="5" t="s">
        <v>1023</v>
      </c>
      <c r="J662" s="4">
        <v>4840</v>
      </c>
      <c r="K662" s="1">
        <v>43972</v>
      </c>
      <c r="L662" s="1">
        <v>43973</v>
      </c>
      <c r="M662" s="4">
        <v>9</v>
      </c>
      <c r="N662" s="7" cm="1">
        <f t="array" ref="N662">_xlfn.IFS(I662="Dell Inspiron 15",66989,I662="Lenovo IdeaPad Slim 3i",34690,I662="Mi NoteBook Ultra",57999,I662="Samsung Galaxy Go",36990,I662="Acer Aspire 3",38980)</f>
        <v>66989</v>
      </c>
      <c r="O662" s="5" t="s">
        <v>1030</v>
      </c>
    </row>
    <row r="663" spans="1:15" x14ac:dyDescent="0.35">
      <c r="A663" s="4">
        <v>24832</v>
      </c>
      <c r="B663" s="5" t="s">
        <v>340</v>
      </c>
      <c r="C663" s="5" t="s">
        <v>942</v>
      </c>
      <c r="D663" s="5" t="s">
        <v>1032</v>
      </c>
      <c r="E663" s="5" t="s">
        <v>1036</v>
      </c>
      <c r="F663" s="5" t="s">
        <v>1013</v>
      </c>
      <c r="G663" s="3" t="s">
        <v>1018</v>
      </c>
      <c r="H663" s="5" t="s">
        <v>968</v>
      </c>
      <c r="I663" s="5" t="s">
        <v>1024</v>
      </c>
      <c r="J663" s="4">
        <v>4894</v>
      </c>
      <c r="K663" s="1">
        <v>43972</v>
      </c>
      <c r="L663" s="1">
        <v>43974</v>
      </c>
      <c r="M663" s="4">
        <v>7</v>
      </c>
      <c r="N663" s="7" cm="1">
        <f t="array" ref="N663">_xlfn.IFS(I663="Dell Inspiron 15",66989,I663="Lenovo IdeaPad Slim 3i",34690,I663="Mi NoteBook Ultra",57999,I663="Samsung Galaxy Go",36990,I663="Acer Aspire 3",38980)</f>
        <v>34690</v>
      </c>
      <c r="O663" s="5" t="s">
        <v>1030</v>
      </c>
    </row>
    <row r="664" spans="1:15" x14ac:dyDescent="0.35">
      <c r="A664" s="4">
        <v>20756</v>
      </c>
      <c r="B664" s="5" t="s">
        <v>362</v>
      </c>
      <c r="C664" s="5" t="s">
        <v>325</v>
      </c>
      <c r="D664" s="5" t="s">
        <v>1032</v>
      </c>
      <c r="E664" s="5" t="s">
        <v>1035</v>
      </c>
      <c r="F664" s="5" t="s">
        <v>1012</v>
      </c>
      <c r="G664" s="3" t="s">
        <v>1017</v>
      </c>
      <c r="H664" s="5" t="s">
        <v>969</v>
      </c>
      <c r="I664" s="5" t="s">
        <v>1026</v>
      </c>
      <c r="J664" s="4">
        <v>4886</v>
      </c>
      <c r="K664" s="1">
        <v>43858</v>
      </c>
      <c r="L664" s="1">
        <v>43859</v>
      </c>
      <c r="M664" s="4">
        <v>1</v>
      </c>
      <c r="N664" s="7" cm="1">
        <f t="array" ref="N664">_xlfn.IFS(I664="Dell Inspiron 15",66989,I664="Lenovo IdeaPad Slim 3i",34690,I664="Mi NoteBook Ultra",57999,I664="Samsung Galaxy Go",36990,I664="Acer Aspire 3",38980)</f>
        <v>36990</v>
      </c>
      <c r="O664" s="5" t="s">
        <v>1030</v>
      </c>
    </row>
    <row r="665" spans="1:15" x14ac:dyDescent="0.35">
      <c r="A665" s="4">
        <v>24723</v>
      </c>
      <c r="B665" s="5" t="s">
        <v>671</v>
      </c>
      <c r="C665" s="5" t="s">
        <v>667</v>
      </c>
      <c r="D665" s="5" t="s">
        <v>1032</v>
      </c>
      <c r="E665" s="5" t="s">
        <v>1035</v>
      </c>
      <c r="F665" s="5" t="s">
        <v>1012</v>
      </c>
      <c r="G665" s="3" t="s">
        <v>1017</v>
      </c>
      <c r="H665" s="5" t="s">
        <v>970</v>
      </c>
      <c r="I665" s="5" t="s">
        <v>1023</v>
      </c>
      <c r="J665" s="4">
        <v>5307</v>
      </c>
      <c r="K665" s="1">
        <v>43858</v>
      </c>
      <c r="L665" s="1">
        <v>43860</v>
      </c>
      <c r="M665" s="4">
        <v>9</v>
      </c>
      <c r="N665" s="7" cm="1">
        <f t="array" ref="N665">_xlfn.IFS(I665="Dell Inspiron 15",66989,I665="Lenovo IdeaPad Slim 3i",34690,I665="Mi NoteBook Ultra",57999,I665="Samsung Galaxy Go",36990,I665="Acer Aspire 3",38980)</f>
        <v>66989</v>
      </c>
      <c r="O665" s="5" t="s">
        <v>1030</v>
      </c>
    </row>
    <row r="666" spans="1:15" x14ac:dyDescent="0.35">
      <c r="A666" s="4">
        <v>24643</v>
      </c>
      <c r="B666" s="5" t="s">
        <v>319</v>
      </c>
      <c r="C666" s="5" t="s">
        <v>509</v>
      </c>
      <c r="D666" s="5" t="s">
        <v>1032</v>
      </c>
      <c r="E666" s="5" t="s">
        <v>1036</v>
      </c>
      <c r="F666" s="5" t="s">
        <v>1013</v>
      </c>
      <c r="G666" s="3" t="s">
        <v>1018</v>
      </c>
      <c r="H666" s="5" t="s">
        <v>971</v>
      </c>
      <c r="I666" s="5" t="s">
        <v>1027</v>
      </c>
      <c r="J666" s="4">
        <v>5272</v>
      </c>
      <c r="K666" s="1">
        <v>43953</v>
      </c>
      <c r="L666" s="1">
        <v>43955</v>
      </c>
      <c r="M666" s="4">
        <v>2</v>
      </c>
      <c r="N666" s="7" cm="1">
        <f t="array" ref="N666">_xlfn.IFS(I666="Dell Inspiron 15",66989,I666="Lenovo IdeaPad Slim 3i",34690,I666="Mi NoteBook Ultra",57999,I666="Samsung Galaxy Go",36990,I666="Acer Aspire 3",38980)</f>
        <v>38980</v>
      </c>
      <c r="O666" s="5" t="s">
        <v>1030</v>
      </c>
    </row>
    <row r="667" spans="1:15" x14ac:dyDescent="0.35">
      <c r="A667" s="4">
        <v>16980</v>
      </c>
      <c r="B667" s="5" t="s">
        <v>230</v>
      </c>
      <c r="C667" s="5" t="s">
        <v>312</v>
      </c>
      <c r="D667" s="5" t="s">
        <v>1032</v>
      </c>
      <c r="E667" s="5" t="s">
        <v>1036</v>
      </c>
      <c r="F667" s="5" t="s">
        <v>1013</v>
      </c>
      <c r="G667" s="3" t="s">
        <v>1018</v>
      </c>
      <c r="H667" s="5" t="s">
        <v>972</v>
      </c>
      <c r="I667" s="5" t="s">
        <v>1025</v>
      </c>
      <c r="J667" s="4">
        <v>5129</v>
      </c>
      <c r="K667" s="1">
        <v>43883</v>
      </c>
      <c r="L667" s="1">
        <v>43884</v>
      </c>
      <c r="M667" s="4">
        <v>5</v>
      </c>
      <c r="N667" s="7" cm="1">
        <f t="array" ref="N667">_xlfn.IFS(I667="Dell Inspiron 15",66989,I667="Lenovo IdeaPad Slim 3i",34690,I667="Mi NoteBook Ultra",57999,I667="Samsung Galaxy Go",36990,I667="Acer Aspire 3",38980)</f>
        <v>57999</v>
      </c>
      <c r="O667" s="5" t="s">
        <v>1030</v>
      </c>
    </row>
    <row r="668" spans="1:15" x14ac:dyDescent="0.35">
      <c r="A668" s="4">
        <v>24692</v>
      </c>
      <c r="B668" s="5" t="s">
        <v>450</v>
      </c>
      <c r="C668" s="5" t="s">
        <v>385</v>
      </c>
      <c r="D668" s="5" t="s">
        <v>1032</v>
      </c>
      <c r="E668" s="5" t="s">
        <v>1033</v>
      </c>
      <c r="F668" s="5" t="s">
        <v>1010</v>
      </c>
      <c r="G668" s="3" t="s">
        <v>1015</v>
      </c>
      <c r="H668" s="5" t="s">
        <v>973</v>
      </c>
      <c r="I668" s="5" t="s">
        <v>1026</v>
      </c>
      <c r="J668" s="4">
        <v>4935</v>
      </c>
      <c r="K668" s="1">
        <v>43917</v>
      </c>
      <c r="L668" s="1">
        <v>43918</v>
      </c>
      <c r="M668" s="4">
        <v>5</v>
      </c>
      <c r="N668" s="7" cm="1">
        <f t="array" ref="N668">_xlfn.IFS(I668="Dell Inspiron 15",66989,I668="Lenovo IdeaPad Slim 3i",34690,I668="Mi NoteBook Ultra",57999,I668="Samsung Galaxy Go",36990,I668="Acer Aspire 3",38980)</f>
        <v>36990</v>
      </c>
      <c r="O668" s="5" t="s">
        <v>1030</v>
      </c>
    </row>
    <row r="669" spans="1:15" x14ac:dyDescent="0.35">
      <c r="A669" s="4">
        <v>15122</v>
      </c>
      <c r="B669" s="5" t="s">
        <v>69</v>
      </c>
      <c r="C669" s="5" t="s">
        <v>513</v>
      </c>
      <c r="D669" s="5" t="s">
        <v>1032</v>
      </c>
      <c r="E669" s="5" t="s">
        <v>1034</v>
      </c>
      <c r="F669" s="5" t="s">
        <v>1011</v>
      </c>
      <c r="G669" s="3" t="s">
        <v>1016</v>
      </c>
      <c r="H669" s="5" t="s">
        <v>974</v>
      </c>
      <c r="I669" s="5" t="s">
        <v>1027</v>
      </c>
      <c r="J669" s="4">
        <v>4923</v>
      </c>
      <c r="K669" s="1">
        <v>43850</v>
      </c>
      <c r="L669" s="1">
        <v>43852</v>
      </c>
      <c r="M669" s="4">
        <v>8</v>
      </c>
      <c r="N669" s="7" cm="1">
        <f t="array" ref="N669">_xlfn.IFS(I669="Dell Inspiron 15",66989,I669="Lenovo IdeaPad Slim 3i",34690,I669="Mi NoteBook Ultra",57999,I669="Samsung Galaxy Go",36990,I669="Acer Aspire 3",38980)</f>
        <v>38980</v>
      </c>
      <c r="O669" s="5" t="s">
        <v>1030</v>
      </c>
    </row>
    <row r="670" spans="1:15" x14ac:dyDescent="0.35">
      <c r="A670" s="4">
        <v>13649</v>
      </c>
      <c r="B670" s="5" t="s">
        <v>975</v>
      </c>
      <c r="C670" s="5" t="s">
        <v>284</v>
      </c>
      <c r="D670" s="5" t="s">
        <v>1032</v>
      </c>
      <c r="E670" s="5" t="s">
        <v>1033</v>
      </c>
      <c r="F670" s="5" t="s">
        <v>1010</v>
      </c>
      <c r="G670" s="3" t="s">
        <v>1015</v>
      </c>
      <c r="H670" s="5" t="s">
        <v>976</v>
      </c>
      <c r="I670" s="5" t="s">
        <v>1023</v>
      </c>
      <c r="J670" s="4">
        <v>5429</v>
      </c>
      <c r="K670" s="1">
        <v>43902</v>
      </c>
      <c r="L670" s="1">
        <v>43909</v>
      </c>
      <c r="M670" s="4">
        <v>10</v>
      </c>
      <c r="N670" s="7" cm="1">
        <f t="array" ref="N670">_xlfn.IFS(I670="Dell Inspiron 15",66989,I670="Lenovo IdeaPad Slim 3i",34690,I670="Mi NoteBook Ultra",57999,I670="Samsung Galaxy Go",36990,I670="Acer Aspire 3",38980)</f>
        <v>66989</v>
      </c>
      <c r="O670" s="5" t="s">
        <v>1030</v>
      </c>
    </row>
    <row r="671" spans="1:15" x14ac:dyDescent="0.35">
      <c r="A671" s="4">
        <v>18500</v>
      </c>
      <c r="B671" s="5" t="s">
        <v>52</v>
      </c>
      <c r="C671" s="5" t="s">
        <v>566</v>
      </c>
      <c r="D671" s="5" t="s">
        <v>1032</v>
      </c>
      <c r="E671" s="5" t="s">
        <v>1035</v>
      </c>
      <c r="F671" s="5" t="s">
        <v>1012</v>
      </c>
      <c r="G671" s="3" t="s">
        <v>1017</v>
      </c>
      <c r="H671" s="5" t="s">
        <v>977</v>
      </c>
      <c r="I671" s="5" t="s">
        <v>1025</v>
      </c>
      <c r="J671" s="4">
        <v>4672</v>
      </c>
      <c r="K671" s="1">
        <v>43997</v>
      </c>
      <c r="L671" s="1">
        <v>43999</v>
      </c>
      <c r="M671" s="4">
        <v>1</v>
      </c>
      <c r="N671" s="7" cm="1">
        <f t="array" ref="N671">_xlfn.IFS(I671="Dell Inspiron 15",66989,I671="Lenovo IdeaPad Slim 3i",34690,I671="Mi NoteBook Ultra",57999,I671="Samsung Galaxy Go",36990,I671="Acer Aspire 3",38980)</f>
        <v>57999</v>
      </c>
      <c r="O671" s="5" t="s">
        <v>1030</v>
      </c>
    </row>
    <row r="672" spans="1:15" x14ac:dyDescent="0.35">
      <c r="A672" s="4">
        <v>13229</v>
      </c>
      <c r="B672" s="5" t="s">
        <v>6</v>
      </c>
      <c r="C672" s="5" t="s">
        <v>152</v>
      </c>
      <c r="D672" s="5" t="s">
        <v>1032</v>
      </c>
      <c r="E672" s="5" t="s">
        <v>1035</v>
      </c>
      <c r="F672" s="5" t="s">
        <v>1012</v>
      </c>
      <c r="G672" s="3" t="s">
        <v>1017</v>
      </c>
      <c r="H672" s="5" t="s">
        <v>978</v>
      </c>
      <c r="I672" s="5" t="s">
        <v>1027</v>
      </c>
      <c r="J672" s="4">
        <v>4715</v>
      </c>
      <c r="K672" s="1">
        <v>43997</v>
      </c>
      <c r="L672" s="1">
        <v>43998</v>
      </c>
      <c r="M672" s="4">
        <v>7</v>
      </c>
      <c r="N672" s="7" cm="1">
        <f t="array" ref="N672">_xlfn.IFS(I672="Dell Inspiron 15",66989,I672="Lenovo IdeaPad Slim 3i",34690,I672="Mi NoteBook Ultra",57999,I672="Samsung Galaxy Go",36990,I672="Acer Aspire 3",38980)</f>
        <v>38980</v>
      </c>
      <c r="O672" s="5" t="s">
        <v>1030</v>
      </c>
    </row>
    <row r="673" spans="1:15" x14ac:dyDescent="0.35">
      <c r="A673" s="4">
        <v>23996</v>
      </c>
      <c r="B673" s="5" t="s">
        <v>17</v>
      </c>
      <c r="C673" s="5" t="s">
        <v>106</v>
      </c>
      <c r="D673" s="5" t="s">
        <v>1032</v>
      </c>
      <c r="E673" s="5" t="s">
        <v>1036</v>
      </c>
      <c r="F673" s="5" t="s">
        <v>1013</v>
      </c>
      <c r="G673" s="3" t="s">
        <v>1018</v>
      </c>
      <c r="H673" s="5" t="s">
        <v>979</v>
      </c>
      <c r="I673" s="5" t="s">
        <v>1023</v>
      </c>
      <c r="J673" s="4">
        <v>5371</v>
      </c>
      <c r="K673" s="1">
        <v>43961</v>
      </c>
      <c r="L673" s="1">
        <v>43962</v>
      </c>
      <c r="M673" s="4">
        <v>10</v>
      </c>
      <c r="N673" s="7" cm="1">
        <f t="array" ref="N673">_xlfn.IFS(I673="Dell Inspiron 15",66989,I673="Lenovo IdeaPad Slim 3i",34690,I673="Mi NoteBook Ultra",57999,I673="Samsung Galaxy Go",36990,I673="Acer Aspire 3",38980)</f>
        <v>66989</v>
      </c>
      <c r="O673" s="5" t="s">
        <v>1030</v>
      </c>
    </row>
    <row r="674" spans="1:15" x14ac:dyDescent="0.35">
      <c r="A674" s="4">
        <v>19552</v>
      </c>
      <c r="B674" s="5" t="s">
        <v>7</v>
      </c>
      <c r="C674" s="5" t="s">
        <v>269</v>
      </c>
      <c r="D674" s="5" t="s">
        <v>1032</v>
      </c>
      <c r="E674" s="5" t="s">
        <v>1033</v>
      </c>
      <c r="F674" s="5" t="s">
        <v>1010</v>
      </c>
      <c r="G674" s="3" t="s">
        <v>1015</v>
      </c>
      <c r="H674" s="5" t="s">
        <v>980</v>
      </c>
      <c r="I674" s="5" t="s">
        <v>1024</v>
      </c>
      <c r="J674" s="4">
        <v>5508</v>
      </c>
      <c r="K674" s="1">
        <v>43900</v>
      </c>
      <c r="L674" s="1">
        <v>43900</v>
      </c>
      <c r="M674" s="4">
        <v>3</v>
      </c>
      <c r="N674" s="7" cm="1">
        <f t="array" ref="N674">_xlfn.IFS(I674="Dell Inspiron 15",66989,I674="Lenovo IdeaPad Slim 3i",34690,I674="Mi NoteBook Ultra",57999,I674="Samsung Galaxy Go",36990,I674="Acer Aspire 3",38980)</f>
        <v>34690</v>
      </c>
      <c r="O674" s="5" t="s">
        <v>1030</v>
      </c>
    </row>
    <row r="675" spans="1:15" x14ac:dyDescent="0.35">
      <c r="A675" s="4">
        <v>18140</v>
      </c>
      <c r="B675" s="5" t="s">
        <v>314</v>
      </c>
      <c r="C675" s="5" t="s">
        <v>366</v>
      </c>
      <c r="D675" s="5" t="s">
        <v>1032</v>
      </c>
      <c r="E675" s="5" t="s">
        <v>1034</v>
      </c>
      <c r="F675" s="5" t="s">
        <v>1011</v>
      </c>
      <c r="G675" s="3" t="s">
        <v>1016</v>
      </c>
      <c r="H675" s="5" t="s">
        <v>981</v>
      </c>
      <c r="I675" s="5" t="s">
        <v>1025</v>
      </c>
      <c r="J675" s="4">
        <v>4771</v>
      </c>
      <c r="K675" s="1">
        <v>43858</v>
      </c>
      <c r="L675" s="1">
        <v>43860</v>
      </c>
      <c r="M675" s="4">
        <v>7</v>
      </c>
      <c r="N675" s="7" cm="1">
        <f t="array" ref="N675">_xlfn.IFS(I675="Dell Inspiron 15",66989,I675="Lenovo IdeaPad Slim 3i",34690,I675="Mi NoteBook Ultra",57999,I675="Samsung Galaxy Go",36990,I675="Acer Aspire 3",38980)</f>
        <v>57999</v>
      </c>
      <c r="O675" s="5" t="s">
        <v>1030</v>
      </c>
    </row>
    <row r="676" spans="1:15" x14ac:dyDescent="0.35">
      <c r="A676" s="4">
        <v>15643</v>
      </c>
      <c r="B676" s="5" t="s">
        <v>433</v>
      </c>
      <c r="C676" s="5" t="s">
        <v>624</v>
      </c>
      <c r="D676" s="5" t="s">
        <v>1032</v>
      </c>
      <c r="E676" s="5" t="s">
        <v>1033</v>
      </c>
      <c r="F676" s="5" t="s">
        <v>1010</v>
      </c>
      <c r="G676" s="3" t="s">
        <v>1015</v>
      </c>
      <c r="H676" s="5" t="s">
        <v>982</v>
      </c>
      <c r="I676" s="5" t="s">
        <v>1026</v>
      </c>
      <c r="J676" s="4">
        <v>5247</v>
      </c>
      <c r="K676" s="1">
        <v>43900</v>
      </c>
      <c r="L676" s="1">
        <v>43901</v>
      </c>
      <c r="M676" s="4">
        <v>4</v>
      </c>
      <c r="N676" s="7" cm="1">
        <f t="array" ref="N676">_xlfn.IFS(I676="Dell Inspiron 15",66989,I676="Lenovo IdeaPad Slim 3i",34690,I676="Mi NoteBook Ultra",57999,I676="Samsung Galaxy Go",36990,I676="Acer Aspire 3",38980)</f>
        <v>36990</v>
      </c>
      <c r="O676" s="5" t="s">
        <v>1030</v>
      </c>
    </row>
    <row r="677" spans="1:15" x14ac:dyDescent="0.35">
      <c r="A677" s="4">
        <v>25425</v>
      </c>
      <c r="B677" s="5" t="s">
        <v>11</v>
      </c>
      <c r="C677" s="5" t="s">
        <v>297</v>
      </c>
      <c r="D677" s="5" t="s">
        <v>1032</v>
      </c>
      <c r="E677" s="5" t="s">
        <v>1035</v>
      </c>
      <c r="F677" s="5" t="s">
        <v>1012</v>
      </c>
      <c r="G677" s="3" t="s">
        <v>1017</v>
      </c>
      <c r="H677" s="5" t="s">
        <v>983</v>
      </c>
      <c r="I677" s="5" t="s">
        <v>1027</v>
      </c>
      <c r="J677" s="4">
        <v>5306</v>
      </c>
      <c r="K677" s="1">
        <v>43941</v>
      </c>
      <c r="L677" s="1">
        <v>43942</v>
      </c>
      <c r="M677" s="4">
        <v>9</v>
      </c>
      <c r="N677" s="7" cm="1">
        <f t="array" ref="N677">_xlfn.IFS(I677="Dell Inspiron 15",66989,I677="Lenovo IdeaPad Slim 3i",34690,I677="Mi NoteBook Ultra",57999,I677="Samsung Galaxy Go",36990,I677="Acer Aspire 3",38980)</f>
        <v>38980</v>
      </c>
      <c r="O677" s="5" t="s">
        <v>1030</v>
      </c>
    </row>
    <row r="678" spans="1:15" x14ac:dyDescent="0.35">
      <c r="A678" s="4">
        <v>22781</v>
      </c>
      <c r="B678" s="5" t="s">
        <v>275</v>
      </c>
      <c r="C678" s="5" t="s">
        <v>317</v>
      </c>
      <c r="D678" s="5" t="s">
        <v>1032</v>
      </c>
      <c r="E678" s="5" t="s">
        <v>1035</v>
      </c>
      <c r="F678" s="5" t="s">
        <v>1012</v>
      </c>
      <c r="G678" s="3" t="s">
        <v>1017</v>
      </c>
      <c r="H678" s="5" t="s">
        <v>984</v>
      </c>
      <c r="I678" s="5" t="s">
        <v>1023</v>
      </c>
      <c r="J678" s="4">
        <v>5251</v>
      </c>
      <c r="K678" s="1">
        <v>43941</v>
      </c>
      <c r="L678" s="1">
        <v>43942</v>
      </c>
      <c r="M678" s="4">
        <v>6</v>
      </c>
      <c r="N678" s="7" cm="1">
        <f t="array" ref="N678">_xlfn.IFS(I678="Dell Inspiron 15",66989,I678="Lenovo IdeaPad Slim 3i",34690,I678="Mi NoteBook Ultra",57999,I678="Samsung Galaxy Go",36990,I678="Acer Aspire 3",38980)</f>
        <v>66989</v>
      </c>
      <c r="O678" s="5" t="s">
        <v>1030</v>
      </c>
    </row>
    <row r="679" spans="1:15" x14ac:dyDescent="0.35">
      <c r="A679" s="4">
        <v>16269</v>
      </c>
      <c r="B679" s="5" t="s">
        <v>29</v>
      </c>
      <c r="C679" s="5" t="s">
        <v>162</v>
      </c>
      <c r="D679" s="5" t="s">
        <v>1032</v>
      </c>
      <c r="E679" s="5" t="s">
        <v>1036</v>
      </c>
      <c r="F679" s="5" t="s">
        <v>1013</v>
      </c>
      <c r="G679" s="3" t="s">
        <v>1018</v>
      </c>
      <c r="H679" s="5" t="s">
        <v>985</v>
      </c>
      <c r="I679" s="5" t="s">
        <v>1025</v>
      </c>
      <c r="J679" s="4">
        <v>5271</v>
      </c>
      <c r="K679" s="1">
        <v>43960</v>
      </c>
      <c r="L679" s="1">
        <v>43962</v>
      </c>
      <c r="M679" s="4">
        <v>5</v>
      </c>
      <c r="N679" s="7" cm="1">
        <f t="array" ref="N679">_xlfn.IFS(I679="Dell Inspiron 15",66989,I679="Lenovo IdeaPad Slim 3i",34690,I679="Mi NoteBook Ultra",57999,I679="Samsung Galaxy Go",36990,I679="Acer Aspire 3",38980)</f>
        <v>57999</v>
      </c>
      <c r="O679" s="5" t="s">
        <v>1030</v>
      </c>
    </row>
    <row r="680" spans="1:15" x14ac:dyDescent="0.35">
      <c r="A680" s="4">
        <v>17932</v>
      </c>
      <c r="B680" s="5" t="s">
        <v>433</v>
      </c>
      <c r="C680" s="5" t="s">
        <v>184</v>
      </c>
      <c r="D680" s="5" t="s">
        <v>1032</v>
      </c>
      <c r="E680" s="5" t="s">
        <v>1033</v>
      </c>
      <c r="F680" s="5" t="s">
        <v>1010</v>
      </c>
      <c r="G680" s="3" t="s">
        <v>1015</v>
      </c>
      <c r="H680" s="5" t="s">
        <v>986</v>
      </c>
      <c r="I680" s="5" t="s">
        <v>1027</v>
      </c>
      <c r="J680" s="4">
        <v>5207</v>
      </c>
      <c r="K680" s="1">
        <v>43994</v>
      </c>
      <c r="L680" s="1">
        <v>43996</v>
      </c>
      <c r="M680" s="4">
        <v>1</v>
      </c>
      <c r="N680" s="7" cm="1">
        <f t="array" ref="N680">_xlfn.IFS(I680="Dell Inspiron 15",66989,I680="Lenovo IdeaPad Slim 3i",34690,I680="Mi NoteBook Ultra",57999,I680="Samsung Galaxy Go",36990,I680="Acer Aspire 3",38980)</f>
        <v>38980</v>
      </c>
      <c r="O680" s="5" t="s">
        <v>1030</v>
      </c>
    </row>
    <row r="681" spans="1:15" x14ac:dyDescent="0.35">
      <c r="A681" s="4">
        <v>16491</v>
      </c>
      <c r="B681" s="5" t="s">
        <v>390</v>
      </c>
      <c r="C681" s="5" t="s">
        <v>607</v>
      </c>
      <c r="D681" s="5" t="s">
        <v>1032</v>
      </c>
      <c r="E681" s="5" t="s">
        <v>1036</v>
      </c>
      <c r="F681" s="5" t="s">
        <v>1013</v>
      </c>
      <c r="G681" s="3" t="s">
        <v>1018</v>
      </c>
      <c r="H681" s="5" t="s">
        <v>987</v>
      </c>
      <c r="I681" s="5" t="s">
        <v>1023</v>
      </c>
      <c r="J681" s="4">
        <v>5430</v>
      </c>
      <c r="K681" s="1">
        <v>43892</v>
      </c>
      <c r="L681" s="1">
        <v>43894</v>
      </c>
      <c r="M681" s="4">
        <v>5</v>
      </c>
      <c r="N681" s="7" cm="1">
        <f t="array" ref="N681">_xlfn.IFS(I681="Dell Inspiron 15",66989,I681="Lenovo IdeaPad Slim 3i",34690,I681="Mi NoteBook Ultra",57999,I681="Samsung Galaxy Go",36990,I681="Acer Aspire 3",38980)</f>
        <v>66989</v>
      </c>
      <c r="O681" s="5" t="s">
        <v>1030</v>
      </c>
    </row>
    <row r="682" spans="1:15" x14ac:dyDescent="0.35">
      <c r="A682" s="4">
        <v>16980</v>
      </c>
      <c r="B682" s="5" t="s">
        <v>319</v>
      </c>
      <c r="C682" s="5" t="s">
        <v>137</v>
      </c>
      <c r="D682" s="5" t="s">
        <v>1032</v>
      </c>
      <c r="E682" s="5" t="s">
        <v>1033</v>
      </c>
      <c r="F682" s="5" t="s">
        <v>1010</v>
      </c>
      <c r="G682" s="3" t="s">
        <v>1015</v>
      </c>
      <c r="H682" s="5" t="s">
        <v>988</v>
      </c>
      <c r="I682" s="5" t="s">
        <v>1024</v>
      </c>
      <c r="J682" s="4">
        <v>5440</v>
      </c>
      <c r="K682" s="1">
        <v>43892</v>
      </c>
      <c r="L682" s="1">
        <v>43892</v>
      </c>
      <c r="M682" s="4">
        <v>1</v>
      </c>
      <c r="N682" s="7" cm="1">
        <f t="array" ref="N682">_xlfn.IFS(I682="Dell Inspiron 15",66989,I682="Lenovo IdeaPad Slim 3i",34690,I682="Mi NoteBook Ultra",57999,I682="Samsung Galaxy Go",36990,I682="Acer Aspire 3",38980)</f>
        <v>34690</v>
      </c>
      <c r="O682" s="5" t="s">
        <v>1030</v>
      </c>
    </row>
    <row r="683" spans="1:15" x14ac:dyDescent="0.35">
      <c r="A683" s="4">
        <v>22363</v>
      </c>
      <c r="B683" s="5" t="s">
        <v>848</v>
      </c>
      <c r="C683" s="5" t="s">
        <v>360</v>
      </c>
      <c r="D683" s="5" t="s">
        <v>1032</v>
      </c>
      <c r="E683" s="5" t="s">
        <v>1034</v>
      </c>
      <c r="F683" s="5" t="s">
        <v>1011</v>
      </c>
      <c r="G683" s="3" t="s">
        <v>1016</v>
      </c>
      <c r="H683" s="5" t="s">
        <v>989</v>
      </c>
      <c r="I683" s="5" t="s">
        <v>1026</v>
      </c>
      <c r="J683" s="4">
        <v>4547</v>
      </c>
      <c r="K683" s="1">
        <v>43832</v>
      </c>
      <c r="L683" s="1">
        <v>43839</v>
      </c>
      <c r="M683" s="4">
        <v>8</v>
      </c>
      <c r="N683" s="7" cm="1">
        <f t="array" ref="N683">_xlfn.IFS(I683="Dell Inspiron 15",66989,I683="Lenovo IdeaPad Slim 3i",34690,I683="Mi NoteBook Ultra",57999,I683="Samsung Galaxy Go",36990,I683="Acer Aspire 3",38980)</f>
        <v>36990</v>
      </c>
      <c r="O683" s="5" t="s">
        <v>1030</v>
      </c>
    </row>
    <row r="684" spans="1:15" x14ac:dyDescent="0.35">
      <c r="A684" s="4">
        <v>21118</v>
      </c>
      <c r="B684" s="5" t="s">
        <v>275</v>
      </c>
      <c r="C684" s="5" t="s">
        <v>355</v>
      </c>
      <c r="D684" s="5" t="s">
        <v>1032</v>
      </c>
      <c r="E684" s="5" t="s">
        <v>1033</v>
      </c>
      <c r="F684" s="5" t="s">
        <v>1010</v>
      </c>
      <c r="G684" s="3" t="s">
        <v>1015</v>
      </c>
      <c r="H684" s="5" t="s">
        <v>990</v>
      </c>
      <c r="I684" s="5" t="s">
        <v>1023</v>
      </c>
      <c r="J684" s="4">
        <v>5296</v>
      </c>
      <c r="K684" s="1">
        <v>43832</v>
      </c>
      <c r="L684" s="1">
        <v>43832</v>
      </c>
      <c r="M684" s="4">
        <v>4</v>
      </c>
      <c r="N684" s="7" cm="1">
        <f t="array" ref="N684">_xlfn.IFS(I684="Dell Inspiron 15",66989,I684="Lenovo IdeaPad Slim 3i",34690,I684="Mi NoteBook Ultra",57999,I684="Samsung Galaxy Go",36990,I684="Acer Aspire 3",38980)</f>
        <v>66989</v>
      </c>
      <c r="O684" s="5" t="s">
        <v>1030</v>
      </c>
    </row>
    <row r="685" spans="1:15" x14ac:dyDescent="0.35">
      <c r="A685" s="4">
        <v>17858</v>
      </c>
      <c r="B685" s="5" t="s">
        <v>173</v>
      </c>
      <c r="C685" s="5" t="s">
        <v>747</v>
      </c>
      <c r="D685" s="5" t="s">
        <v>1032</v>
      </c>
      <c r="E685" s="5" t="s">
        <v>1035</v>
      </c>
      <c r="F685" s="5" t="s">
        <v>1012</v>
      </c>
      <c r="G685" s="3" t="s">
        <v>1017</v>
      </c>
      <c r="H685" s="5" t="s">
        <v>991</v>
      </c>
      <c r="I685" s="5" t="s">
        <v>1027</v>
      </c>
      <c r="J685" s="4">
        <v>4790</v>
      </c>
      <c r="K685" s="1">
        <v>43832</v>
      </c>
      <c r="L685" s="1">
        <v>43834</v>
      </c>
      <c r="M685" s="4">
        <v>5</v>
      </c>
      <c r="N685" s="7" cm="1">
        <f t="array" ref="N685">_xlfn.IFS(I685="Dell Inspiron 15",66989,I685="Lenovo IdeaPad Slim 3i",34690,I685="Mi NoteBook Ultra",57999,I685="Samsung Galaxy Go",36990,I685="Acer Aspire 3",38980)</f>
        <v>38980</v>
      </c>
      <c r="O685" s="5" t="s">
        <v>1030</v>
      </c>
    </row>
    <row r="686" spans="1:15" x14ac:dyDescent="0.35">
      <c r="A686" s="4">
        <v>14382</v>
      </c>
      <c r="B686" s="5" t="s">
        <v>359</v>
      </c>
      <c r="C686" s="5" t="s">
        <v>96</v>
      </c>
      <c r="D686" s="5" t="s">
        <v>1032</v>
      </c>
      <c r="E686" s="5" t="s">
        <v>1033</v>
      </c>
      <c r="F686" s="5" t="s">
        <v>1010</v>
      </c>
      <c r="G686" s="3" t="s">
        <v>1015</v>
      </c>
      <c r="H686" s="5" t="s">
        <v>992</v>
      </c>
      <c r="I686" s="5" t="s">
        <v>1025</v>
      </c>
      <c r="J686" s="4">
        <v>5178</v>
      </c>
      <c r="K686" s="1">
        <v>43832</v>
      </c>
      <c r="L686" s="1">
        <v>43839</v>
      </c>
      <c r="M686" s="4">
        <v>5</v>
      </c>
      <c r="N686" s="7" cm="1">
        <f t="array" ref="N686">_xlfn.IFS(I686="Dell Inspiron 15",66989,I686="Lenovo IdeaPad Slim 3i",34690,I686="Mi NoteBook Ultra",57999,I686="Samsung Galaxy Go",36990,I686="Acer Aspire 3",38980)</f>
        <v>57999</v>
      </c>
      <c r="O686" s="5" t="s">
        <v>1030</v>
      </c>
    </row>
    <row r="687" spans="1:15" x14ac:dyDescent="0.35">
      <c r="A687" s="4">
        <v>21441</v>
      </c>
      <c r="B687" s="5" t="s">
        <v>243</v>
      </c>
      <c r="C687" s="5" t="s">
        <v>650</v>
      </c>
      <c r="D687" s="5" t="s">
        <v>1032</v>
      </c>
      <c r="E687" s="5" t="s">
        <v>1034</v>
      </c>
      <c r="F687" s="5" t="s">
        <v>1011</v>
      </c>
      <c r="G687" s="3" t="s">
        <v>1016</v>
      </c>
      <c r="H687" s="5" t="s">
        <v>993</v>
      </c>
      <c r="I687" s="5" t="s">
        <v>1026</v>
      </c>
      <c r="J687" s="4">
        <v>5506</v>
      </c>
      <c r="K687" s="1">
        <v>43863</v>
      </c>
      <c r="L687" s="1">
        <v>43865</v>
      </c>
      <c r="M687" s="4">
        <v>2</v>
      </c>
      <c r="N687" s="7" cm="1">
        <f t="array" ref="N687">_xlfn.IFS(I687="Dell Inspiron 15",66989,I687="Lenovo IdeaPad Slim 3i",34690,I687="Mi NoteBook Ultra",57999,I687="Samsung Galaxy Go",36990,I687="Acer Aspire 3",38980)</f>
        <v>36990</v>
      </c>
      <c r="O687" s="5" t="s">
        <v>1030</v>
      </c>
    </row>
    <row r="688" spans="1:15" x14ac:dyDescent="0.35">
      <c r="A688" s="4">
        <v>25398</v>
      </c>
      <c r="B688" s="5" t="s">
        <v>552</v>
      </c>
      <c r="C688" s="5" t="s">
        <v>108</v>
      </c>
      <c r="D688" s="5" t="s">
        <v>1032</v>
      </c>
      <c r="E688" s="5" t="s">
        <v>1033</v>
      </c>
      <c r="F688" s="5" t="s">
        <v>1010</v>
      </c>
      <c r="G688" s="3" t="s">
        <v>1015</v>
      </c>
      <c r="H688" s="5" t="s">
        <v>994</v>
      </c>
      <c r="I688" s="5" t="s">
        <v>1027</v>
      </c>
      <c r="J688" s="4">
        <v>4885</v>
      </c>
      <c r="K688" s="1">
        <v>43863</v>
      </c>
      <c r="L688" s="1">
        <v>43865</v>
      </c>
      <c r="M688" s="4">
        <v>4</v>
      </c>
      <c r="N688" s="7" cm="1">
        <f t="array" ref="N688">_xlfn.IFS(I688="Dell Inspiron 15",66989,I688="Lenovo IdeaPad Slim 3i",34690,I688="Mi NoteBook Ultra",57999,I688="Samsung Galaxy Go",36990,I688="Acer Aspire 3",38980)</f>
        <v>38980</v>
      </c>
      <c r="O688" s="5" t="s">
        <v>1030</v>
      </c>
    </row>
    <row r="689" spans="1:15" x14ac:dyDescent="0.35">
      <c r="A689" s="4">
        <v>18080</v>
      </c>
      <c r="B689" s="5" t="s">
        <v>569</v>
      </c>
      <c r="C689" s="5" t="s">
        <v>494</v>
      </c>
      <c r="D689" s="5" t="s">
        <v>1032</v>
      </c>
      <c r="E689" s="5" t="s">
        <v>1035</v>
      </c>
      <c r="F689" s="5" t="s">
        <v>1012</v>
      </c>
      <c r="G689" s="3" t="s">
        <v>1017</v>
      </c>
      <c r="H689" s="5" t="s">
        <v>995</v>
      </c>
      <c r="I689" s="5" t="s">
        <v>1023</v>
      </c>
      <c r="J689" s="4">
        <v>4718</v>
      </c>
      <c r="K689" s="1">
        <v>43905</v>
      </c>
      <c r="L689" s="1">
        <v>43905</v>
      </c>
      <c r="M689" s="4">
        <v>8</v>
      </c>
      <c r="N689" s="7" cm="1">
        <f t="array" ref="N689">_xlfn.IFS(I689="Dell Inspiron 15",66989,I689="Lenovo IdeaPad Slim 3i",34690,I689="Mi NoteBook Ultra",57999,I689="Samsung Galaxy Go",36990,I689="Acer Aspire 3",38980)</f>
        <v>66989</v>
      </c>
      <c r="O689" s="5" t="s">
        <v>1030</v>
      </c>
    </row>
    <row r="690" spans="1:15" x14ac:dyDescent="0.35">
      <c r="A690" s="4">
        <v>23270</v>
      </c>
      <c r="B690" s="5" t="s">
        <v>211</v>
      </c>
      <c r="C690" s="5" t="s">
        <v>267</v>
      </c>
      <c r="D690" s="5" t="s">
        <v>1032</v>
      </c>
      <c r="E690" s="5" t="s">
        <v>1035</v>
      </c>
      <c r="F690" s="5" t="s">
        <v>1012</v>
      </c>
      <c r="G690" s="3" t="s">
        <v>1017</v>
      </c>
      <c r="H690" s="5" t="s">
        <v>996</v>
      </c>
      <c r="I690" s="5" t="s">
        <v>1025</v>
      </c>
      <c r="J690" s="4">
        <v>5356</v>
      </c>
      <c r="K690" s="1">
        <v>43863</v>
      </c>
      <c r="L690" s="1">
        <v>43864</v>
      </c>
      <c r="M690" s="4">
        <v>4</v>
      </c>
      <c r="N690" s="7" cm="1">
        <f t="array" ref="N690">_xlfn.IFS(I690="Dell Inspiron 15",66989,I690="Lenovo IdeaPad Slim 3i",34690,I690="Mi NoteBook Ultra",57999,I690="Samsung Galaxy Go",36990,I690="Acer Aspire 3",38980)</f>
        <v>57999</v>
      </c>
      <c r="O690" s="5" t="s">
        <v>1030</v>
      </c>
    </row>
    <row r="691" spans="1:15" x14ac:dyDescent="0.35">
      <c r="A691" s="4">
        <v>19849</v>
      </c>
      <c r="B691" s="5" t="s">
        <v>705</v>
      </c>
      <c r="C691" s="5" t="s">
        <v>379</v>
      </c>
      <c r="D691" s="5" t="s">
        <v>1032</v>
      </c>
      <c r="E691" s="5" t="s">
        <v>1035</v>
      </c>
      <c r="F691" s="5" t="s">
        <v>1012</v>
      </c>
      <c r="G691" s="3" t="s">
        <v>1017</v>
      </c>
      <c r="H691" s="5" t="s">
        <v>997</v>
      </c>
      <c r="I691" s="5" t="s">
        <v>1027</v>
      </c>
      <c r="J691" s="4">
        <v>5352</v>
      </c>
      <c r="K691" s="1">
        <v>43920</v>
      </c>
      <c r="L691" s="1">
        <v>43923</v>
      </c>
      <c r="M691" s="4">
        <v>9</v>
      </c>
      <c r="N691" s="7" cm="1">
        <f t="array" ref="N691">_xlfn.IFS(I691="Dell Inspiron 15",66989,I691="Lenovo IdeaPad Slim 3i",34690,I691="Mi NoteBook Ultra",57999,I691="Samsung Galaxy Go",36990,I691="Acer Aspire 3",38980)</f>
        <v>38980</v>
      </c>
      <c r="O691" s="5" t="s">
        <v>1030</v>
      </c>
    </row>
    <row r="692" spans="1:15" x14ac:dyDescent="0.35">
      <c r="A692" s="4">
        <v>17003</v>
      </c>
      <c r="B692" s="5" t="s">
        <v>11</v>
      </c>
      <c r="C692" s="5" t="s">
        <v>348</v>
      </c>
      <c r="D692" s="5" t="s">
        <v>1032</v>
      </c>
      <c r="E692" s="5" t="s">
        <v>1035</v>
      </c>
      <c r="F692" s="5" t="s">
        <v>1012</v>
      </c>
      <c r="G692" s="3" t="s">
        <v>1017</v>
      </c>
      <c r="H692" s="5" t="s">
        <v>998</v>
      </c>
      <c r="I692" s="5" t="s">
        <v>1023</v>
      </c>
      <c r="J692" s="4">
        <v>5026</v>
      </c>
      <c r="K692" s="1">
        <v>43985</v>
      </c>
      <c r="L692" s="1">
        <v>43990</v>
      </c>
      <c r="M692" s="4">
        <v>4</v>
      </c>
      <c r="N692" s="7" cm="1">
        <f t="array" ref="N692">_xlfn.IFS(I692="Dell Inspiron 15",66989,I692="Lenovo IdeaPad Slim 3i",34690,I692="Mi NoteBook Ultra",57999,I692="Samsung Galaxy Go",36990,I692="Acer Aspire 3",38980)</f>
        <v>66989</v>
      </c>
      <c r="O692" s="5" t="s">
        <v>1030</v>
      </c>
    </row>
    <row r="693" spans="1:15" x14ac:dyDescent="0.35">
      <c r="A693" s="4">
        <v>22098</v>
      </c>
      <c r="B693" s="5" t="s">
        <v>98</v>
      </c>
      <c r="C693" s="5" t="s">
        <v>271</v>
      </c>
      <c r="D693" s="5" t="s">
        <v>1032</v>
      </c>
      <c r="E693" s="5" t="s">
        <v>1036</v>
      </c>
      <c r="F693" s="5" t="s">
        <v>1013</v>
      </c>
      <c r="G693" s="3" t="s">
        <v>1018</v>
      </c>
      <c r="H693" s="5" t="s">
        <v>999</v>
      </c>
      <c r="I693" s="5" t="s">
        <v>1024</v>
      </c>
      <c r="J693" s="4">
        <v>4752</v>
      </c>
      <c r="K693" s="1">
        <v>43912</v>
      </c>
      <c r="L693" s="1">
        <v>43913</v>
      </c>
      <c r="M693" s="4">
        <v>8</v>
      </c>
      <c r="N693" s="7" cm="1">
        <f t="array" ref="N693">_xlfn.IFS(I693="Dell Inspiron 15",66989,I693="Lenovo IdeaPad Slim 3i",34690,I693="Mi NoteBook Ultra",57999,I693="Samsung Galaxy Go",36990,I693="Acer Aspire 3",38980)</f>
        <v>34690</v>
      </c>
      <c r="O693" s="5" t="s">
        <v>1030</v>
      </c>
    </row>
    <row r="694" spans="1:15" x14ac:dyDescent="0.35">
      <c r="A694" s="4">
        <v>20872</v>
      </c>
      <c r="B694" s="5" t="s">
        <v>41</v>
      </c>
      <c r="C694" s="5" t="s">
        <v>96</v>
      </c>
      <c r="D694" s="5" t="s">
        <v>1032</v>
      </c>
      <c r="E694" s="5" t="s">
        <v>1033</v>
      </c>
      <c r="F694" s="5" t="s">
        <v>1010</v>
      </c>
      <c r="G694" s="3" t="s">
        <v>1015</v>
      </c>
      <c r="H694" s="5" t="s">
        <v>1000</v>
      </c>
      <c r="I694" s="5" t="s">
        <v>1023</v>
      </c>
      <c r="J694" s="4">
        <v>5399</v>
      </c>
      <c r="K694" s="1">
        <v>43912</v>
      </c>
      <c r="L694" s="1">
        <v>43915</v>
      </c>
      <c r="M694" s="4">
        <v>10</v>
      </c>
      <c r="N694" s="7" cm="1">
        <f t="array" ref="N694">_xlfn.IFS(I694="Dell Inspiron 15",66989,I694="Lenovo IdeaPad Slim 3i",34690,I694="Mi NoteBook Ultra",57999,I694="Samsung Galaxy Go",36990,I694="Acer Aspire 3",38980)</f>
        <v>66989</v>
      </c>
      <c r="O694" s="5" t="s">
        <v>1030</v>
      </c>
    </row>
    <row r="695" spans="1:15" x14ac:dyDescent="0.35">
      <c r="A695" s="4">
        <v>17696</v>
      </c>
      <c r="B695" s="5" t="s">
        <v>55</v>
      </c>
      <c r="C695" s="5" t="s">
        <v>375</v>
      </c>
      <c r="D695" s="5" t="s">
        <v>1032</v>
      </c>
      <c r="E695" s="5" t="s">
        <v>1034</v>
      </c>
      <c r="F695" s="5" t="s">
        <v>1011</v>
      </c>
      <c r="G695" s="3" t="s">
        <v>1016</v>
      </c>
      <c r="H695" s="5" t="s">
        <v>1001</v>
      </c>
      <c r="I695" s="5" t="s">
        <v>1024</v>
      </c>
      <c r="J695" s="4">
        <v>5101</v>
      </c>
      <c r="K695" s="1">
        <v>43968</v>
      </c>
      <c r="L695" s="1">
        <v>43969</v>
      </c>
      <c r="M695" s="4">
        <v>3</v>
      </c>
      <c r="N695" s="7" cm="1">
        <f t="array" ref="N695">_xlfn.IFS(I695="Dell Inspiron 15",66989,I695="Lenovo IdeaPad Slim 3i",34690,I695="Mi NoteBook Ultra",57999,I695="Samsung Galaxy Go",36990,I695="Acer Aspire 3",38980)</f>
        <v>34690</v>
      </c>
      <c r="O695" s="5" t="s">
        <v>1030</v>
      </c>
    </row>
    <row r="696" spans="1:15" x14ac:dyDescent="0.35">
      <c r="A696" s="4">
        <v>18750</v>
      </c>
      <c r="B696" s="5" t="s">
        <v>377</v>
      </c>
      <c r="C696" s="5" t="s">
        <v>447</v>
      </c>
      <c r="D696" s="5" t="s">
        <v>1032</v>
      </c>
      <c r="E696" s="5" t="s">
        <v>1033</v>
      </c>
      <c r="F696" s="5" t="s">
        <v>1010</v>
      </c>
      <c r="G696" s="3" t="s">
        <v>1015</v>
      </c>
      <c r="H696" s="5" t="s">
        <v>1002</v>
      </c>
      <c r="I696" s="5" t="s">
        <v>1025</v>
      </c>
      <c r="J696" s="4">
        <v>4866</v>
      </c>
      <c r="K696" s="1">
        <v>43879</v>
      </c>
      <c r="L696" s="1">
        <v>43881</v>
      </c>
      <c r="M696" s="4">
        <v>8</v>
      </c>
      <c r="N696" s="7" cm="1">
        <f t="array" ref="N696">_xlfn.IFS(I696="Dell Inspiron 15",66989,I696="Lenovo IdeaPad Slim 3i",34690,I696="Mi NoteBook Ultra",57999,I696="Samsung Galaxy Go",36990,I696="Acer Aspire 3",38980)</f>
        <v>57999</v>
      </c>
      <c r="O696" s="5" t="s">
        <v>1030</v>
      </c>
    </row>
    <row r="697" spans="1:15" x14ac:dyDescent="0.35">
      <c r="A697" s="4">
        <v>22362</v>
      </c>
      <c r="B697" s="5" t="s">
        <v>390</v>
      </c>
      <c r="C697" s="5" t="s">
        <v>149</v>
      </c>
      <c r="D697" s="5" t="s">
        <v>1032</v>
      </c>
      <c r="E697" s="5" t="s">
        <v>1035</v>
      </c>
      <c r="F697" s="5" t="s">
        <v>1012</v>
      </c>
      <c r="G697" s="3" t="s">
        <v>1017</v>
      </c>
      <c r="H697" s="5" t="s">
        <v>1003</v>
      </c>
      <c r="I697" s="5" t="s">
        <v>1026</v>
      </c>
      <c r="J697" s="4">
        <v>5314</v>
      </c>
      <c r="K697" s="1">
        <v>43894</v>
      </c>
      <c r="L697" s="1">
        <v>43896</v>
      </c>
      <c r="M697" s="4">
        <v>3</v>
      </c>
      <c r="N697" s="7" cm="1">
        <f t="array" ref="N697">_xlfn.IFS(I697="Dell Inspiron 15",66989,I697="Lenovo IdeaPad Slim 3i",34690,I697="Mi NoteBook Ultra",57999,I697="Samsung Galaxy Go",36990,I697="Acer Aspire 3",38980)</f>
        <v>36990</v>
      </c>
      <c r="O697" s="5" t="s">
        <v>1030</v>
      </c>
    </row>
    <row r="698" spans="1:15" x14ac:dyDescent="0.35">
      <c r="A698" s="4">
        <v>19275</v>
      </c>
      <c r="B698" s="5" t="s">
        <v>77</v>
      </c>
      <c r="C698" s="5" t="s">
        <v>484</v>
      </c>
      <c r="D698" s="5" t="s">
        <v>1032</v>
      </c>
      <c r="E698" s="5" t="s">
        <v>1035</v>
      </c>
      <c r="F698" s="5" t="s">
        <v>1012</v>
      </c>
      <c r="G698" s="3" t="s">
        <v>1017</v>
      </c>
      <c r="H698" s="5" t="s">
        <v>1004</v>
      </c>
      <c r="I698" s="5" t="s">
        <v>1027</v>
      </c>
      <c r="J698" s="4">
        <v>4791</v>
      </c>
      <c r="K698" s="1">
        <v>43968</v>
      </c>
      <c r="L698" s="1">
        <v>43970</v>
      </c>
      <c r="M698" s="4">
        <v>3</v>
      </c>
      <c r="N698" s="7" cm="1">
        <f t="array" ref="N698">_xlfn.IFS(I698="Dell Inspiron 15",66989,I698="Lenovo IdeaPad Slim 3i",34690,I698="Mi NoteBook Ultra",57999,I698="Samsung Galaxy Go",36990,I698="Acer Aspire 3",38980)</f>
        <v>38980</v>
      </c>
      <c r="O698" s="5" t="s">
        <v>1030</v>
      </c>
    </row>
    <row r="699" spans="1:15" x14ac:dyDescent="0.35">
      <c r="A699" s="4">
        <v>18133</v>
      </c>
      <c r="B699" s="5" t="s">
        <v>275</v>
      </c>
      <c r="C699" s="5" t="s">
        <v>86</v>
      </c>
      <c r="D699" s="5" t="s">
        <v>1032</v>
      </c>
      <c r="E699" s="5" t="s">
        <v>1036</v>
      </c>
      <c r="F699" s="5" t="s">
        <v>1013</v>
      </c>
      <c r="G699" s="3" t="s">
        <v>1018</v>
      </c>
      <c r="H699" s="5" t="s">
        <v>1005</v>
      </c>
      <c r="I699" s="5" t="s">
        <v>1023</v>
      </c>
      <c r="J699" s="4">
        <v>5048</v>
      </c>
      <c r="K699" s="1">
        <v>43968</v>
      </c>
      <c r="L699" s="1">
        <v>43969</v>
      </c>
      <c r="M699" s="4">
        <v>7</v>
      </c>
      <c r="N699" s="7" cm="1">
        <f t="array" ref="N699">_xlfn.IFS(I699="Dell Inspiron 15",66989,I699="Lenovo IdeaPad Slim 3i",34690,I699="Mi NoteBook Ultra",57999,I699="Samsung Galaxy Go",36990,I699="Acer Aspire 3",38980)</f>
        <v>66989</v>
      </c>
      <c r="O699" s="5" t="s">
        <v>1030</v>
      </c>
    </row>
    <row r="700" spans="1:15" x14ac:dyDescent="0.35">
      <c r="A700" s="4">
        <v>15577</v>
      </c>
      <c r="B700" s="5" t="s">
        <v>258</v>
      </c>
      <c r="C700" s="5" t="s">
        <v>325</v>
      </c>
      <c r="D700" s="5" t="s">
        <v>1032</v>
      </c>
      <c r="E700" s="5" t="s">
        <v>1033</v>
      </c>
      <c r="F700" s="5" t="s">
        <v>1010</v>
      </c>
      <c r="G700" s="3" t="s">
        <v>1015</v>
      </c>
      <c r="H700" s="5" t="s">
        <v>1006</v>
      </c>
      <c r="I700" s="5" t="s">
        <v>1025</v>
      </c>
      <c r="J700" s="4">
        <v>5414</v>
      </c>
      <c r="K700" s="1">
        <v>43989</v>
      </c>
      <c r="L700" s="1">
        <v>43991</v>
      </c>
      <c r="M700" s="4">
        <v>10</v>
      </c>
      <c r="N700" s="7" cm="1">
        <f t="array" ref="N700">_xlfn.IFS(I700="Dell Inspiron 15",66989,I700="Lenovo IdeaPad Slim 3i",34690,I700="Mi NoteBook Ultra",57999,I700="Samsung Galaxy Go",36990,I700="Acer Aspire 3",38980)</f>
        <v>57999</v>
      </c>
      <c r="O700" s="5" t="s">
        <v>1030</v>
      </c>
    </row>
    <row r="701" spans="1:15" x14ac:dyDescent="0.35">
      <c r="A701" s="4">
        <v>15578</v>
      </c>
      <c r="B701" s="5" t="s">
        <v>128</v>
      </c>
      <c r="C701" s="5" t="s">
        <v>206</v>
      </c>
      <c r="D701" s="5" t="s">
        <v>1032</v>
      </c>
      <c r="E701" s="5" t="s">
        <v>1034</v>
      </c>
      <c r="F701" s="5" t="s">
        <v>1011</v>
      </c>
      <c r="G701" s="3" t="s">
        <v>1016</v>
      </c>
      <c r="H701" s="5" t="s">
        <v>1007</v>
      </c>
      <c r="I701" s="5" t="s">
        <v>1027</v>
      </c>
      <c r="J701" s="4">
        <v>5351</v>
      </c>
      <c r="K701" s="1">
        <v>43954</v>
      </c>
      <c r="L701" s="1">
        <v>43956</v>
      </c>
      <c r="M701" s="4">
        <v>8</v>
      </c>
      <c r="N701" s="7" cm="1">
        <f t="array" ref="N701">_xlfn.IFS(I701="Dell Inspiron 15",66989,I701="Lenovo IdeaPad Slim 3i",34690,I701="Mi NoteBook Ultra",57999,I701="Samsung Galaxy Go",36990,I701="Acer Aspire 3",38980)</f>
        <v>38980</v>
      </c>
      <c r="O701" s="5" t="s">
        <v>1030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Sheet5</vt:lpstr>
      <vt:lpstr>Sheet6</vt:lpstr>
      <vt:lpstr>DASHBOARD</vt:lpstr>
      <vt:lpstr>Sheet10</vt:lpstr>
      <vt:lpstr>Sales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Endless</dc:creator>
  <cp:lastModifiedBy>DELL</cp:lastModifiedBy>
  <dcterms:created xsi:type="dcterms:W3CDTF">2022-06-08T12:46:25Z</dcterms:created>
  <dcterms:modified xsi:type="dcterms:W3CDTF">2026-06-03T14:19:32Z</dcterms:modified>
</cp:coreProperties>
</file>